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\Documents\MastersDegree\DataOutputs\"/>
    </mc:Choice>
  </mc:AlternateContent>
  <xr:revisionPtr revIDLastSave="0" documentId="8_{E68F1D59-8846-4DC7-9E71-9F74668271D9}" xr6:coauthVersionLast="47" xr6:coauthVersionMax="47" xr10:uidLastSave="{00000000-0000-0000-0000-000000000000}"/>
  <bookViews>
    <workbookView xWindow="-108" yWindow="-108" windowWidth="23256" windowHeight="12456" activeTab="3" xr2:uid="{ABDCD9D7-2FB1-48FA-8BEF-1F1DCF128879}"/>
  </bookViews>
  <sheets>
    <sheet name="Total final consumption (TFC) b" sheetId="1" r:id="rId1"/>
    <sheet name="Pivot" sheetId="3" r:id="rId2"/>
    <sheet name="With non-energy use" sheetId="2" r:id="rId3"/>
    <sheet name="WITHOUT non-energy use" sheetId="4" r:id="rId4"/>
  </sheets>
  <calcPr calcId="0"/>
  <pivotCaches>
    <pivotCache cacheId="4" r:id="rId5"/>
  </pivotCaches>
</workbook>
</file>

<file path=xl/calcChain.xml><?xml version="1.0" encoding="utf-8"?>
<calcChain xmlns="http://schemas.openxmlformats.org/spreadsheetml/2006/main">
  <c r="M3" i="4" l="1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N2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J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M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2" i="4"/>
  <c r="L2" i="4"/>
  <c r="I2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4" i="3"/>
</calcChain>
</file>

<file path=xl/sharedStrings.xml><?xml version="1.0" encoding="utf-8"?>
<sst xmlns="http://schemas.openxmlformats.org/spreadsheetml/2006/main" count="141" uniqueCount="64">
  <si>
    <t>Source: IEA World Energy Balances https://www.iea.org/data-and-statistics/data-product/world-energy-statistics-balances</t>
  </si>
  <si>
    <t>This data is released under a CC BY 4.0 licence: https://www.iea.org/terms/creative-commons-cc-licenses</t>
  </si>
  <si>
    <t>,Industry,Transport,Residential,Commercial and public services,Agriculture and forestry,Fishing,Other non-specified,Non-energy use,Units</t>
  </si>
  <si>
    <t>1990,75255156,66064160,60636460,19024389,6848724,260064,10784333,19999025,TJ</t>
  </si>
  <si>
    <t>1991,74981679,66592780,61768304,19567787,6964157,267742,10914028,20614969,TJ</t>
  </si>
  <si>
    <t>1992,73524961,68025526,61883547,19023351,6674631,278436,10361830,20987191,TJ</t>
  </si>
  <si>
    <t>1993,72709092,68709868,67926854,20114064,6915734,259920,5209356,20551522,TJ</t>
  </si>
  <si>
    <t>1994,72608328,70070007,67087976,20656158,7060423,262302,4703136,21259084,TJ</t>
  </si>
  <si>
    <t>1995,75018375,71964245,68477667,21217404,7268594,260571,3596099,22140248,TJ</t>
  </si>
  <si>
    <t>1996,74080972,74819471,69785903,22439271,6677581,273412,3318801,22936222,TJ</t>
  </si>
  <si>
    <t>1997,74872036,75882338,69738046,22507434,7223965,268100,3214859,24183172,TJ</t>
  </si>
  <si>
    <t>1998,74853265,77657690,69035379,22526443,7121279,247975,3092482,23878738,TJ</t>
  </si>
  <si>
    <t>1999,74902578,79887320,70197016,23490807,7107171,238565,3240606,24657099,TJ</t>
  </si>
  <si>
    <t>2000,78041488,82290273,70748578,23408414,6166509,262635,3176070,25929600,TJ</t>
  </si>
  <si>
    <t>2001,77867151,82744266,71224256,23814537,6227874,268575,3225259,26094573,TJ</t>
  </si>
  <si>
    <t>2002,78060027,84983738,71548629,24358635,6420360,265603,3834495,26986078,TJ</t>
  </si>
  <si>
    <t>2003,81414744,86828984,73217352,25434432,6504992,322061,4058663,27989527,TJ</t>
  </si>
  <si>
    <t>2004,87525661,90846802,73839106,26340343,6930801,332200,4147337,29763685,TJ</t>
  </si>
  <si>
    <t>2005,93281337,92967987,74131441,27459986,7280965,342209,4129261,30267606,TJ</t>
  </si>
  <si>
    <t>2006,97785283,95270693,74331257,27910875,7429422,318146,4382353,31145611,TJ</t>
  </si>
  <si>
    <t>2007,101742175,98558548,74522071,28935509,7466834,323345,4447971,32021232,TJ</t>
  </si>
  <si>
    <t>2008,102790413,99127390,75285350,29990668,7448896,297764,4672255,31015835,TJ</t>
  </si>
  <si>
    <t>2009,100171205,97396323,75126127,29783112,7351755,314414,4291011,31504413,TJ</t>
  </si>
  <si>
    <t>2010,109706955,101769741,77188119,30773574,7619768,331356,4395559,33289191,TJ</t>
  </si>
  <si>
    <t>2011,113242546,103532207,76432274,30664518,7956853,316465,4431016,33341898,TJ</t>
  </si>
  <si>
    <t>2012,115049813,104359188,75990855,30956072,7984139,322427,4779970,34493311,TJ</t>
  </si>
  <si>
    <t>2013,115676520,107285202,78268220,32019672,7985682,317854,5124984,34709435,TJ</t>
  </si>
  <si>
    <t>2014,117308432,109178902,77894909,31963909,8042393,319555,5350046,36141794,TJ</t>
  </si>
  <si>
    <t>2015,115984770,112673292,78086959,32519270,8187613,321206,5549339,36242080,TJ</t>
  </si>
  <si>
    <t>2016,115810914,115168296,78965793,33007125,8346895,303515,6003128,36883847,TJ</t>
  </si>
  <si>
    <t>2017,116770083,117957993,80521356,33525188,8688923,319100,6186230,38444509,TJ</t>
  </si>
  <si>
    <t>2018,118521323,121172343,82862939,34338428,8869435,331066,5948916,39189771,TJ</t>
  </si>
  <si>
    <t>2019,119027464,122652910,82611195,34563892,8842650,335938,5866368,39834484,TJ</t>
  </si>
  <si>
    <t>2020,118450645,106713212,83387286,32549166,8811687,334518,5890816,39645761,TJ</t>
  </si>
  <si>
    <t>2021,124601786,115210842,85171809,34270130,9059998,323178,5719690,41207931,TJ</t>
  </si>
  <si>
    <t>2022,126196753,119728497,84985047,34388938,9285927,323591,6651950,40559417,TJ</t>
  </si>
  <si>
    <t>2023,128950177,122904119,84171150,34520014,9585918,336174,6691395,41948595,TJ</t>
  </si>
  <si>
    <t>Industry</t>
  </si>
  <si>
    <t>Transport</t>
  </si>
  <si>
    <t>Residential</t>
  </si>
  <si>
    <t>Commercial and public services</t>
  </si>
  <si>
    <t>Agriculture and forestry</t>
  </si>
  <si>
    <t>Fishing</t>
  </si>
  <si>
    <t>Other non-specified</t>
  </si>
  <si>
    <t>Non-energy use</t>
  </si>
  <si>
    <t>Units</t>
  </si>
  <si>
    <t>TJ</t>
  </si>
  <si>
    <t>Year</t>
  </si>
  <si>
    <t>Row Labels</t>
  </si>
  <si>
    <t>Grand Total</t>
  </si>
  <si>
    <t>Sum of Industry</t>
  </si>
  <si>
    <t>Sum of Transport</t>
  </si>
  <si>
    <t>Sum of Residential</t>
  </si>
  <si>
    <t>Sum of Commercial and public services</t>
  </si>
  <si>
    <t>Sum of Agriculture and forestry</t>
  </si>
  <si>
    <t>Sum of Fishing</t>
  </si>
  <si>
    <t>Percentage Residential</t>
  </si>
  <si>
    <t>% Other non-specified</t>
  </si>
  <si>
    <t>% Industry</t>
  </si>
  <si>
    <t>% Transport</t>
  </si>
  <si>
    <t>% Commercial</t>
  </si>
  <si>
    <t>% Agro</t>
  </si>
  <si>
    <t>% Residential</t>
  </si>
  <si>
    <t>% Ind+Tr+Comm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</si>
</sst>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0" fontId="0" fillId="0" borderId="0" xfId="2" applyNumberFormat="1" applyFont="1"/>
    <xf numFmtId="43" fontId="16" fillId="0" borderId="0" xfId="0" applyNumberFormat="1" applyFont="1"/>
    <xf numFmtId="43" fontId="0" fillId="0" borderId="0" xfId="1" applyFont="1"/>
    <xf numFmtId="0" fontId="16" fillId="0" borderId="0" xfId="0" applyFont="1"/>
    <xf numFmtId="43" fontId="16" fillId="0" borderId="0" xfId="1" applyFont="1"/>
    <xf numFmtId="10" fontId="16" fillId="0" borderId="0" xfId="2" applyNumberFormat="1" applyFont="1"/>
    <xf numFmtId="10" fontId="16" fillId="0" borderId="10" xfId="2" applyNumberFormat="1" applyFont="1" applyBorder="1"/>
    <xf numFmtId="10" fontId="0" fillId="0" borderId="10" xfId="2" applyNumberFormat="1" applyFont="1" applyBorder="1"/>
    <xf numFmtId="0" fontId="0" fillId="0" borderId="10" xfId="0" applyBorder="1"/>
    <xf numFmtId="10" fontId="16" fillId="0" borderId="0" xfId="2" applyNumberFormat="1" applyFont="1" applyBorder="1"/>
    <xf numFmtId="10" fontId="0" fillId="0" borderId="0" xfId="2" applyNumberFormat="1" applyFont="1" applyBorder="1"/>
    <xf numFmtId="0" fontId="0" fillId="0" borderId="0" xfId="0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"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Funari" refreshedDate="46267.630702662034" createdVersion="8" refreshedVersion="8" minRefreshableVersion="3" recordCount="34" xr:uid="{76081FBA-F77E-4045-96E3-C61B9321DF63}">
  <cacheSource type="worksheet">
    <worksheetSource ref="A1:L35" sheet="With non-energy use"/>
  </cacheSource>
  <cacheFields count="10">
    <cacheField name="Year" numFmtId="0">
      <sharedItems containsSemiMixedTypes="0" containsString="0" containsNumber="1" containsInteger="1" minValue="1990" maxValue="2023" count="34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Industry" numFmtId="0">
      <sharedItems containsSemiMixedTypes="0" containsString="0" containsNumber="1" containsInteger="1" minValue="72608328" maxValue="128950177" count="34">
        <n v="75255156"/>
        <n v="74981679"/>
        <n v="73524961"/>
        <n v="72709092"/>
        <n v="72608328"/>
        <n v="75018375"/>
        <n v="74080972"/>
        <n v="74872036"/>
        <n v="74853265"/>
        <n v="74902578"/>
        <n v="78041488"/>
        <n v="77867151"/>
        <n v="78060027"/>
        <n v="81414744"/>
        <n v="87525661"/>
        <n v="93281337"/>
        <n v="97785283"/>
        <n v="101742175"/>
        <n v="102790413"/>
        <n v="100171205"/>
        <n v="109706955"/>
        <n v="113242546"/>
        <n v="115049813"/>
        <n v="115676520"/>
        <n v="117308432"/>
        <n v="115984770"/>
        <n v="115810914"/>
        <n v="116770083"/>
        <n v="118521323"/>
        <n v="119027464"/>
        <n v="118450645"/>
        <n v="124601786"/>
        <n v="126196753"/>
        <n v="128950177"/>
      </sharedItems>
    </cacheField>
    <cacheField name="Transport" numFmtId="0">
      <sharedItems containsSemiMixedTypes="0" containsString="0" containsNumber="1" containsInteger="1" minValue="66064160" maxValue="122904119"/>
    </cacheField>
    <cacheField name="Residential" numFmtId="0">
      <sharedItems containsSemiMixedTypes="0" containsString="0" containsNumber="1" containsInteger="1" minValue="60636460" maxValue="85171809"/>
    </cacheField>
    <cacheField name="Commercial and public services" numFmtId="0">
      <sharedItems containsSemiMixedTypes="0" containsString="0" containsNumber="1" containsInteger="1" minValue="19023351" maxValue="34563892"/>
    </cacheField>
    <cacheField name="Agriculture and forestry" numFmtId="0">
      <sharedItems containsSemiMixedTypes="0" containsString="0" containsNumber="1" containsInteger="1" minValue="6166509" maxValue="9585918"/>
    </cacheField>
    <cacheField name="Fishing" numFmtId="0">
      <sharedItems containsSemiMixedTypes="0" containsString="0" containsNumber="1" containsInteger="1" minValue="238565" maxValue="342209"/>
    </cacheField>
    <cacheField name="Other non-specified" numFmtId="0">
      <sharedItems containsSemiMixedTypes="0" containsString="0" containsNumber="1" containsInteger="1" minValue="3092482" maxValue="10914028"/>
    </cacheField>
    <cacheField name="Non-energy use" numFmtId="0">
      <sharedItems containsSemiMixedTypes="0" containsString="0" containsNumber="1" containsInteger="1" minValue="19999025" maxValue="41948595"/>
    </cacheField>
    <cacheField name="Uni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n v="66064160"/>
    <n v="60636460"/>
    <n v="19024389"/>
    <n v="6848724"/>
    <n v="260064"/>
    <n v="10784333"/>
    <n v="19999025"/>
    <s v="TJ"/>
  </r>
  <r>
    <x v="1"/>
    <x v="1"/>
    <n v="66592780"/>
    <n v="61768304"/>
    <n v="19567787"/>
    <n v="6964157"/>
    <n v="267742"/>
    <n v="10914028"/>
    <n v="20614969"/>
    <s v="TJ"/>
  </r>
  <r>
    <x v="2"/>
    <x v="2"/>
    <n v="68025526"/>
    <n v="61883547"/>
    <n v="19023351"/>
    <n v="6674631"/>
    <n v="278436"/>
    <n v="10361830"/>
    <n v="20987191"/>
    <s v="TJ"/>
  </r>
  <r>
    <x v="3"/>
    <x v="3"/>
    <n v="68709868"/>
    <n v="67926854"/>
    <n v="20114064"/>
    <n v="6915734"/>
    <n v="259920"/>
    <n v="5209356"/>
    <n v="20551522"/>
    <s v="TJ"/>
  </r>
  <r>
    <x v="4"/>
    <x v="4"/>
    <n v="70070007"/>
    <n v="67087976"/>
    <n v="20656158"/>
    <n v="7060423"/>
    <n v="262302"/>
    <n v="4703136"/>
    <n v="21259084"/>
    <s v="TJ"/>
  </r>
  <r>
    <x v="5"/>
    <x v="5"/>
    <n v="71964245"/>
    <n v="68477667"/>
    <n v="21217404"/>
    <n v="7268594"/>
    <n v="260571"/>
    <n v="3596099"/>
    <n v="22140248"/>
    <s v="TJ"/>
  </r>
  <r>
    <x v="6"/>
    <x v="6"/>
    <n v="74819471"/>
    <n v="69785903"/>
    <n v="22439271"/>
    <n v="6677581"/>
    <n v="273412"/>
    <n v="3318801"/>
    <n v="22936222"/>
    <s v="TJ"/>
  </r>
  <r>
    <x v="7"/>
    <x v="7"/>
    <n v="75882338"/>
    <n v="69738046"/>
    <n v="22507434"/>
    <n v="7223965"/>
    <n v="268100"/>
    <n v="3214859"/>
    <n v="24183172"/>
    <s v="TJ"/>
  </r>
  <r>
    <x v="8"/>
    <x v="8"/>
    <n v="77657690"/>
    <n v="69035379"/>
    <n v="22526443"/>
    <n v="7121279"/>
    <n v="247975"/>
    <n v="3092482"/>
    <n v="23878738"/>
    <s v="TJ"/>
  </r>
  <r>
    <x v="9"/>
    <x v="9"/>
    <n v="79887320"/>
    <n v="70197016"/>
    <n v="23490807"/>
    <n v="7107171"/>
    <n v="238565"/>
    <n v="3240606"/>
    <n v="24657099"/>
    <s v="TJ"/>
  </r>
  <r>
    <x v="10"/>
    <x v="10"/>
    <n v="82290273"/>
    <n v="70748578"/>
    <n v="23408414"/>
    <n v="6166509"/>
    <n v="262635"/>
    <n v="3176070"/>
    <n v="25929600"/>
    <s v="TJ"/>
  </r>
  <r>
    <x v="11"/>
    <x v="11"/>
    <n v="82744266"/>
    <n v="71224256"/>
    <n v="23814537"/>
    <n v="6227874"/>
    <n v="268575"/>
    <n v="3225259"/>
    <n v="26094573"/>
    <s v="TJ"/>
  </r>
  <r>
    <x v="12"/>
    <x v="12"/>
    <n v="84983738"/>
    <n v="71548629"/>
    <n v="24358635"/>
    <n v="6420360"/>
    <n v="265603"/>
    <n v="3834495"/>
    <n v="26986078"/>
    <s v="TJ"/>
  </r>
  <r>
    <x v="13"/>
    <x v="13"/>
    <n v="86828984"/>
    <n v="73217352"/>
    <n v="25434432"/>
    <n v="6504992"/>
    <n v="322061"/>
    <n v="4058663"/>
    <n v="27989527"/>
    <s v="TJ"/>
  </r>
  <r>
    <x v="14"/>
    <x v="14"/>
    <n v="90846802"/>
    <n v="73839106"/>
    <n v="26340343"/>
    <n v="6930801"/>
    <n v="332200"/>
    <n v="4147337"/>
    <n v="29763685"/>
    <s v="TJ"/>
  </r>
  <r>
    <x v="15"/>
    <x v="15"/>
    <n v="92967987"/>
    <n v="74131441"/>
    <n v="27459986"/>
    <n v="7280965"/>
    <n v="342209"/>
    <n v="4129261"/>
    <n v="30267606"/>
    <s v="TJ"/>
  </r>
  <r>
    <x v="16"/>
    <x v="16"/>
    <n v="95270693"/>
    <n v="74331257"/>
    <n v="27910875"/>
    <n v="7429422"/>
    <n v="318146"/>
    <n v="4382353"/>
    <n v="31145611"/>
    <s v="TJ"/>
  </r>
  <r>
    <x v="17"/>
    <x v="17"/>
    <n v="98558548"/>
    <n v="74522071"/>
    <n v="28935509"/>
    <n v="7466834"/>
    <n v="323345"/>
    <n v="4447971"/>
    <n v="32021232"/>
    <s v="TJ"/>
  </r>
  <r>
    <x v="18"/>
    <x v="18"/>
    <n v="99127390"/>
    <n v="75285350"/>
    <n v="29990668"/>
    <n v="7448896"/>
    <n v="297764"/>
    <n v="4672255"/>
    <n v="31015835"/>
    <s v="TJ"/>
  </r>
  <r>
    <x v="19"/>
    <x v="19"/>
    <n v="97396323"/>
    <n v="75126127"/>
    <n v="29783112"/>
    <n v="7351755"/>
    <n v="314414"/>
    <n v="4291011"/>
    <n v="31504413"/>
    <s v="TJ"/>
  </r>
  <r>
    <x v="20"/>
    <x v="20"/>
    <n v="101769741"/>
    <n v="77188119"/>
    <n v="30773574"/>
    <n v="7619768"/>
    <n v="331356"/>
    <n v="4395559"/>
    <n v="33289191"/>
    <s v="TJ"/>
  </r>
  <r>
    <x v="21"/>
    <x v="21"/>
    <n v="103532207"/>
    <n v="76432274"/>
    <n v="30664518"/>
    <n v="7956853"/>
    <n v="316465"/>
    <n v="4431016"/>
    <n v="33341898"/>
    <s v="TJ"/>
  </r>
  <r>
    <x v="22"/>
    <x v="22"/>
    <n v="104359188"/>
    <n v="75990855"/>
    <n v="30956072"/>
    <n v="7984139"/>
    <n v="322427"/>
    <n v="4779970"/>
    <n v="34493311"/>
    <s v="TJ"/>
  </r>
  <r>
    <x v="23"/>
    <x v="23"/>
    <n v="107285202"/>
    <n v="78268220"/>
    <n v="32019672"/>
    <n v="7985682"/>
    <n v="317854"/>
    <n v="5124984"/>
    <n v="34709435"/>
    <s v="TJ"/>
  </r>
  <r>
    <x v="24"/>
    <x v="24"/>
    <n v="109178902"/>
    <n v="77894909"/>
    <n v="31963909"/>
    <n v="8042393"/>
    <n v="319555"/>
    <n v="5350046"/>
    <n v="36141794"/>
    <s v="TJ"/>
  </r>
  <r>
    <x v="25"/>
    <x v="25"/>
    <n v="112673292"/>
    <n v="78086959"/>
    <n v="32519270"/>
    <n v="8187613"/>
    <n v="321206"/>
    <n v="5549339"/>
    <n v="36242080"/>
    <s v="TJ"/>
  </r>
  <r>
    <x v="26"/>
    <x v="26"/>
    <n v="115168296"/>
    <n v="78965793"/>
    <n v="33007125"/>
    <n v="8346895"/>
    <n v="303515"/>
    <n v="6003128"/>
    <n v="36883847"/>
    <s v="TJ"/>
  </r>
  <r>
    <x v="27"/>
    <x v="27"/>
    <n v="117957993"/>
    <n v="80521356"/>
    <n v="33525188"/>
    <n v="8688923"/>
    <n v="319100"/>
    <n v="6186230"/>
    <n v="38444509"/>
    <s v="TJ"/>
  </r>
  <r>
    <x v="28"/>
    <x v="28"/>
    <n v="121172343"/>
    <n v="82862939"/>
    <n v="34338428"/>
    <n v="8869435"/>
    <n v="331066"/>
    <n v="5948916"/>
    <n v="39189771"/>
    <s v="TJ"/>
  </r>
  <r>
    <x v="29"/>
    <x v="29"/>
    <n v="122652910"/>
    <n v="82611195"/>
    <n v="34563892"/>
    <n v="8842650"/>
    <n v="335938"/>
    <n v="5866368"/>
    <n v="39834484"/>
    <s v="TJ"/>
  </r>
  <r>
    <x v="30"/>
    <x v="30"/>
    <n v="106713212"/>
    <n v="83387286"/>
    <n v="32549166"/>
    <n v="8811687"/>
    <n v="334518"/>
    <n v="5890816"/>
    <n v="39645761"/>
    <s v="TJ"/>
  </r>
  <r>
    <x v="31"/>
    <x v="31"/>
    <n v="115210842"/>
    <n v="85171809"/>
    <n v="34270130"/>
    <n v="9059998"/>
    <n v="323178"/>
    <n v="5719690"/>
    <n v="41207931"/>
    <s v="TJ"/>
  </r>
  <r>
    <x v="32"/>
    <x v="32"/>
    <n v="119728497"/>
    <n v="84985047"/>
    <n v="34388938"/>
    <n v="9285927"/>
    <n v="323591"/>
    <n v="6651950"/>
    <n v="40559417"/>
    <s v="TJ"/>
  </r>
  <r>
    <x v="33"/>
    <x v="33"/>
    <n v="122904119"/>
    <n v="84171150"/>
    <n v="34520014"/>
    <n v="9585918"/>
    <n v="336174"/>
    <n v="6691395"/>
    <n v="41948595"/>
    <s v="TJ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33AEE-65A7-463D-9E3E-72CB2520829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8" firstHeaderRow="0" firstDataRow="1" firstDataCol="1"/>
  <pivotFields count="10"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dataField="1" showAll="0">
      <items count="35">
        <item x="4"/>
        <item x="3"/>
        <item x="2"/>
        <item x="6"/>
        <item x="8"/>
        <item x="7"/>
        <item x="9"/>
        <item x="1"/>
        <item x="5"/>
        <item x="0"/>
        <item x="11"/>
        <item x="10"/>
        <item x="12"/>
        <item x="13"/>
        <item x="14"/>
        <item x="15"/>
        <item x="16"/>
        <item x="19"/>
        <item x="17"/>
        <item x="18"/>
        <item x="20"/>
        <item x="21"/>
        <item x="22"/>
        <item x="23"/>
        <item x="26"/>
        <item x="25"/>
        <item x="27"/>
        <item x="24"/>
        <item x="30"/>
        <item x="28"/>
        <item x="29"/>
        <item x="31"/>
        <item x="32"/>
        <item x="3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ndustry" fld="1" baseField="0" baseItem="0"/>
    <dataField name="Sum of Transport" fld="2" baseField="0" baseItem="0"/>
    <dataField name="Sum of Residential" fld="3" baseField="0" baseItem="0"/>
    <dataField name="Sum of Commercial and public services" fld="4" baseField="0" baseItem="0"/>
    <dataField name="Sum of Agriculture and forestry" fld="5" baseField="0" baseItem="0"/>
    <dataField name="Sum of Fishing" fld="6" baseField="0" baseItem="0"/>
  </dataFields>
  <formats count="1">
    <format dxfId="0">
      <pivotArea dataOnly="0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8173-A548-4C09-9179-D9298387C401}">
  <dimension ref="A1:A38"/>
  <sheetViews>
    <sheetView topLeftCell="A15" workbookViewId="0">
      <selection activeCell="A4" sqref="A4:A3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7450-2C20-435B-BEA4-DC8846DC53BD}">
  <dimension ref="A3:H38"/>
  <sheetViews>
    <sheetView zoomScale="70" zoomScaleNormal="70" workbookViewId="0">
      <selection activeCell="G3" sqref="G3"/>
    </sheetView>
  </sheetViews>
  <sheetFormatPr defaultRowHeight="14.4" x14ac:dyDescent="0.3"/>
  <cols>
    <col min="1" max="1" width="13.88671875" bestFit="1" customWidth="1"/>
    <col min="2" max="3" width="17.21875" bestFit="1" customWidth="1"/>
    <col min="4" max="4" width="18.33203125" bestFit="1" customWidth="1"/>
    <col min="5" max="5" width="36.33203125" bestFit="1" customWidth="1"/>
    <col min="6" max="6" width="29" bestFit="1" customWidth="1"/>
    <col min="7" max="7" width="14.6640625" bestFit="1" customWidth="1"/>
    <col min="8" max="8" width="27.5546875" customWidth="1"/>
    <col min="9" max="102" width="16.5546875" bestFit="1" customWidth="1"/>
    <col min="103" max="103" width="18.44140625" bestFit="1" customWidth="1"/>
    <col min="104" max="104" width="19.5546875" bestFit="1" customWidth="1"/>
    <col min="105" max="105" width="21.109375" bestFit="1" customWidth="1"/>
  </cols>
  <sheetData>
    <row r="3" spans="1:8" x14ac:dyDescent="0.3">
      <c r="A3" s="1" t="s">
        <v>48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  <c r="H3" s="5" t="s">
        <v>56</v>
      </c>
    </row>
    <row r="4" spans="1:8" x14ac:dyDescent="0.3">
      <c r="A4" s="2">
        <v>1990</v>
      </c>
      <c r="B4" s="3">
        <v>75255156</v>
      </c>
      <c r="C4" s="3">
        <v>66064160</v>
      </c>
      <c r="D4" s="3">
        <v>60636460</v>
      </c>
      <c r="E4" s="3">
        <v>19024389</v>
      </c>
      <c r="F4" s="3">
        <v>6848724</v>
      </c>
      <c r="G4" s="3">
        <v>260064</v>
      </c>
      <c r="H4" s="4">
        <f>D4/SUM(B4:G4)</f>
        <v>0.26584566767685586</v>
      </c>
    </row>
    <row r="5" spans="1:8" x14ac:dyDescent="0.3">
      <c r="A5" s="2">
        <v>1991</v>
      </c>
      <c r="B5" s="3">
        <v>74981679</v>
      </c>
      <c r="C5" s="3">
        <v>66592780</v>
      </c>
      <c r="D5" s="3">
        <v>61768304</v>
      </c>
      <c r="E5" s="3">
        <v>19567787</v>
      </c>
      <c r="F5" s="3">
        <v>6964157</v>
      </c>
      <c r="G5" s="3">
        <v>267742</v>
      </c>
      <c r="H5" s="4">
        <f t="shared" ref="H5:H38" si="0">D5/SUM(B5:G5)</f>
        <v>0.26839161688072588</v>
      </c>
    </row>
    <row r="6" spans="1:8" x14ac:dyDescent="0.3">
      <c r="A6" s="2">
        <v>1992</v>
      </c>
      <c r="B6" s="3">
        <v>73524961</v>
      </c>
      <c r="C6" s="3">
        <v>68025526</v>
      </c>
      <c r="D6" s="3">
        <v>61883547</v>
      </c>
      <c r="E6" s="3">
        <v>19023351</v>
      </c>
      <c r="F6" s="3">
        <v>6674631</v>
      </c>
      <c r="G6" s="3">
        <v>278436</v>
      </c>
      <c r="H6" s="4">
        <f t="shared" si="0"/>
        <v>0.2697503381406528</v>
      </c>
    </row>
    <row r="7" spans="1:8" x14ac:dyDescent="0.3">
      <c r="A7" s="2">
        <v>1993</v>
      </c>
      <c r="B7" s="3">
        <v>72709092</v>
      </c>
      <c r="C7" s="3">
        <v>68709868</v>
      </c>
      <c r="D7" s="3">
        <v>67926854</v>
      </c>
      <c r="E7" s="3">
        <v>20114064</v>
      </c>
      <c r="F7" s="3">
        <v>6915734</v>
      </c>
      <c r="G7" s="3">
        <v>259920</v>
      </c>
      <c r="H7" s="4">
        <f t="shared" si="0"/>
        <v>0.28705263924607904</v>
      </c>
    </row>
    <row r="8" spans="1:8" x14ac:dyDescent="0.3">
      <c r="A8" s="2">
        <v>1994</v>
      </c>
      <c r="B8" s="3">
        <v>72608328</v>
      </c>
      <c r="C8" s="3">
        <v>70070007</v>
      </c>
      <c r="D8" s="3">
        <v>67087976</v>
      </c>
      <c r="E8" s="3">
        <v>20656158</v>
      </c>
      <c r="F8" s="3">
        <v>7060423</v>
      </c>
      <c r="G8" s="3">
        <v>262302</v>
      </c>
      <c r="H8" s="4">
        <f t="shared" si="0"/>
        <v>0.2821843624733798</v>
      </c>
    </row>
    <row r="9" spans="1:8" x14ac:dyDescent="0.3">
      <c r="A9" s="2">
        <v>1995</v>
      </c>
      <c r="B9" s="3">
        <v>75018375</v>
      </c>
      <c r="C9" s="3">
        <v>71964245</v>
      </c>
      <c r="D9" s="3">
        <v>68477667</v>
      </c>
      <c r="E9" s="3">
        <v>21217404</v>
      </c>
      <c r="F9" s="3">
        <v>7268594</v>
      </c>
      <c r="G9" s="3">
        <v>260571</v>
      </c>
      <c r="H9" s="4">
        <f t="shared" si="0"/>
        <v>0.28040845421637139</v>
      </c>
    </row>
    <row r="10" spans="1:8" x14ac:dyDescent="0.3">
      <c r="A10" s="2">
        <v>1996</v>
      </c>
      <c r="B10" s="3">
        <v>74080972</v>
      </c>
      <c r="C10" s="3">
        <v>74819471</v>
      </c>
      <c r="D10" s="3">
        <v>69785903</v>
      </c>
      <c r="E10" s="3">
        <v>22439271</v>
      </c>
      <c r="F10" s="3">
        <v>6677581</v>
      </c>
      <c r="G10" s="3">
        <v>273412</v>
      </c>
      <c r="H10" s="4">
        <f t="shared" si="0"/>
        <v>0.28130787098388677</v>
      </c>
    </row>
    <row r="11" spans="1:8" x14ac:dyDescent="0.3">
      <c r="A11" s="2">
        <v>1997</v>
      </c>
      <c r="B11" s="3">
        <v>74872036</v>
      </c>
      <c r="C11" s="3">
        <v>75882338</v>
      </c>
      <c r="D11" s="3">
        <v>69738046</v>
      </c>
      <c r="E11" s="3">
        <v>22507434</v>
      </c>
      <c r="F11" s="3">
        <v>7223965</v>
      </c>
      <c r="G11" s="3">
        <v>268100</v>
      </c>
      <c r="H11" s="4">
        <f t="shared" si="0"/>
        <v>0.27840437439420951</v>
      </c>
    </row>
    <row r="12" spans="1:8" x14ac:dyDescent="0.3">
      <c r="A12" s="2">
        <v>1998</v>
      </c>
      <c r="B12" s="3">
        <v>74853265</v>
      </c>
      <c r="C12" s="3">
        <v>77657690</v>
      </c>
      <c r="D12" s="3">
        <v>69035379</v>
      </c>
      <c r="E12" s="3">
        <v>22526443</v>
      </c>
      <c r="F12" s="3">
        <v>7121279</v>
      </c>
      <c r="G12" s="3">
        <v>247975</v>
      </c>
      <c r="H12" s="4">
        <f t="shared" si="0"/>
        <v>0.27455783237767434</v>
      </c>
    </row>
    <row r="13" spans="1:8" x14ac:dyDescent="0.3">
      <c r="A13" s="2">
        <v>1999</v>
      </c>
      <c r="B13" s="3">
        <v>74902578</v>
      </c>
      <c r="C13" s="3">
        <v>79887320</v>
      </c>
      <c r="D13" s="3">
        <v>70197016</v>
      </c>
      <c r="E13" s="3">
        <v>23490807</v>
      </c>
      <c r="F13" s="3">
        <v>7107171</v>
      </c>
      <c r="G13" s="3">
        <v>238565</v>
      </c>
      <c r="H13" s="4">
        <f t="shared" si="0"/>
        <v>0.27439632324255553</v>
      </c>
    </row>
    <row r="14" spans="1:8" x14ac:dyDescent="0.3">
      <c r="A14" s="2">
        <v>2000</v>
      </c>
      <c r="B14" s="3">
        <v>78041488</v>
      </c>
      <c r="C14" s="3">
        <v>82290273</v>
      </c>
      <c r="D14" s="3">
        <v>70748578</v>
      </c>
      <c r="E14" s="3">
        <v>23408414</v>
      </c>
      <c r="F14" s="3">
        <v>6166509</v>
      </c>
      <c r="G14" s="3">
        <v>262635</v>
      </c>
      <c r="H14" s="4">
        <f t="shared" si="0"/>
        <v>0.27115264538560957</v>
      </c>
    </row>
    <row r="15" spans="1:8" x14ac:dyDescent="0.3">
      <c r="A15" s="2">
        <v>2001</v>
      </c>
      <c r="B15" s="3">
        <v>77867151</v>
      </c>
      <c r="C15" s="3">
        <v>82744266</v>
      </c>
      <c r="D15" s="3">
        <v>71224256</v>
      </c>
      <c r="E15" s="3">
        <v>23814537</v>
      </c>
      <c r="F15" s="3">
        <v>6227874</v>
      </c>
      <c r="G15" s="3">
        <v>268575</v>
      </c>
      <c r="H15" s="4">
        <f t="shared" si="0"/>
        <v>0.27169621871854566</v>
      </c>
    </row>
    <row r="16" spans="1:8" x14ac:dyDescent="0.3">
      <c r="A16" s="2">
        <v>2002</v>
      </c>
      <c r="B16" s="3">
        <v>78060027</v>
      </c>
      <c r="C16" s="3">
        <v>84983738</v>
      </c>
      <c r="D16" s="3">
        <v>71548629</v>
      </c>
      <c r="E16" s="3">
        <v>24358635</v>
      </c>
      <c r="F16" s="3">
        <v>6420360</v>
      </c>
      <c r="G16" s="3">
        <v>265603</v>
      </c>
      <c r="H16" s="4">
        <f t="shared" si="0"/>
        <v>0.26934738441850747</v>
      </c>
    </row>
    <row r="17" spans="1:8" x14ac:dyDescent="0.3">
      <c r="A17" s="2">
        <v>2003</v>
      </c>
      <c r="B17" s="3">
        <v>81414744</v>
      </c>
      <c r="C17" s="3">
        <v>86828984</v>
      </c>
      <c r="D17" s="3">
        <v>73217352</v>
      </c>
      <c r="E17" s="3">
        <v>25434432</v>
      </c>
      <c r="F17" s="3">
        <v>6504992</v>
      </c>
      <c r="G17" s="3">
        <v>322061</v>
      </c>
      <c r="H17" s="4">
        <f t="shared" si="0"/>
        <v>0.26748745394812445</v>
      </c>
    </row>
    <row r="18" spans="1:8" x14ac:dyDescent="0.3">
      <c r="A18" s="2">
        <v>2004</v>
      </c>
      <c r="B18" s="3">
        <v>87525661</v>
      </c>
      <c r="C18" s="3">
        <v>90846802</v>
      </c>
      <c r="D18" s="3">
        <v>73839106</v>
      </c>
      <c r="E18" s="3">
        <v>26340343</v>
      </c>
      <c r="F18" s="3">
        <v>6930801</v>
      </c>
      <c r="G18" s="3">
        <v>332200</v>
      </c>
      <c r="H18" s="4">
        <f t="shared" si="0"/>
        <v>0.25834588274265452</v>
      </c>
    </row>
    <row r="19" spans="1:8" x14ac:dyDescent="0.3">
      <c r="A19" s="2">
        <v>2005</v>
      </c>
      <c r="B19" s="3">
        <v>93281337</v>
      </c>
      <c r="C19" s="3">
        <v>92967987</v>
      </c>
      <c r="D19" s="3">
        <v>74131441</v>
      </c>
      <c r="E19" s="3">
        <v>27459986</v>
      </c>
      <c r="F19" s="3">
        <v>7280965</v>
      </c>
      <c r="G19" s="3">
        <v>342209</v>
      </c>
      <c r="H19" s="4">
        <f t="shared" si="0"/>
        <v>0.25089845063149419</v>
      </c>
    </row>
    <row r="20" spans="1:8" x14ac:dyDescent="0.3">
      <c r="A20" s="2">
        <v>2006</v>
      </c>
      <c r="B20" s="3">
        <v>97785283</v>
      </c>
      <c r="C20" s="3">
        <v>95270693</v>
      </c>
      <c r="D20" s="3">
        <v>74331257</v>
      </c>
      <c r="E20" s="3">
        <v>27910875</v>
      </c>
      <c r="F20" s="3">
        <v>7429422</v>
      </c>
      <c r="G20" s="3">
        <v>318146</v>
      </c>
      <c r="H20" s="4">
        <f t="shared" si="0"/>
        <v>0.24528070481362024</v>
      </c>
    </row>
    <row r="21" spans="1:8" x14ac:dyDescent="0.3">
      <c r="A21" s="2">
        <v>2007</v>
      </c>
      <c r="B21" s="3">
        <v>101742175</v>
      </c>
      <c r="C21" s="3">
        <v>98558548</v>
      </c>
      <c r="D21" s="3">
        <v>74522071</v>
      </c>
      <c r="E21" s="3">
        <v>28935509</v>
      </c>
      <c r="F21" s="3">
        <v>7466834</v>
      </c>
      <c r="G21" s="3">
        <v>323345</v>
      </c>
      <c r="H21" s="4">
        <f t="shared" si="0"/>
        <v>0.2391989539528554</v>
      </c>
    </row>
    <row r="22" spans="1:8" x14ac:dyDescent="0.3">
      <c r="A22" s="2">
        <v>2008</v>
      </c>
      <c r="B22" s="3">
        <v>102790413</v>
      </c>
      <c r="C22" s="3">
        <v>99127390</v>
      </c>
      <c r="D22" s="3">
        <v>75285350</v>
      </c>
      <c r="E22" s="3">
        <v>29990668</v>
      </c>
      <c r="F22" s="3">
        <v>7448896</v>
      </c>
      <c r="G22" s="3">
        <v>297764</v>
      </c>
      <c r="H22" s="4">
        <f t="shared" si="0"/>
        <v>0.23904627871575518</v>
      </c>
    </row>
    <row r="23" spans="1:8" x14ac:dyDescent="0.3">
      <c r="A23" s="2">
        <v>2009</v>
      </c>
      <c r="B23" s="3">
        <v>100171205</v>
      </c>
      <c r="C23" s="3">
        <v>97396323</v>
      </c>
      <c r="D23" s="3">
        <v>75126127</v>
      </c>
      <c r="E23" s="3">
        <v>29783112</v>
      </c>
      <c r="F23" s="3">
        <v>7351755</v>
      </c>
      <c r="G23" s="3">
        <v>314414</v>
      </c>
      <c r="H23" s="4">
        <f t="shared" si="0"/>
        <v>0.24223065651251846</v>
      </c>
    </row>
    <row r="24" spans="1:8" x14ac:dyDescent="0.3">
      <c r="A24" s="2">
        <v>2010</v>
      </c>
      <c r="B24" s="3">
        <v>109706955</v>
      </c>
      <c r="C24" s="3">
        <v>101769741</v>
      </c>
      <c r="D24" s="3">
        <v>77188119</v>
      </c>
      <c r="E24" s="3">
        <v>30773574</v>
      </c>
      <c r="F24" s="3">
        <v>7619768</v>
      </c>
      <c r="G24" s="3">
        <v>331356</v>
      </c>
      <c r="H24" s="4">
        <f t="shared" si="0"/>
        <v>0.23576845297424051</v>
      </c>
    </row>
    <row r="25" spans="1:8" x14ac:dyDescent="0.3">
      <c r="A25" s="2">
        <v>2011</v>
      </c>
      <c r="B25" s="3">
        <v>113242546</v>
      </c>
      <c r="C25" s="3">
        <v>103532207</v>
      </c>
      <c r="D25" s="3">
        <v>76432274</v>
      </c>
      <c r="E25" s="3">
        <v>30664518</v>
      </c>
      <c r="F25" s="3">
        <v>7956853</v>
      </c>
      <c r="G25" s="3">
        <v>316465</v>
      </c>
      <c r="H25" s="4">
        <f t="shared" si="0"/>
        <v>0.23011728469815293</v>
      </c>
    </row>
    <row r="26" spans="1:8" x14ac:dyDescent="0.3">
      <c r="A26" s="2">
        <v>2012</v>
      </c>
      <c r="B26" s="3">
        <v>115049813</v>
      </c>
      <c r="C26" s="3">
        <v>104359188</v>
      </c>
      <c r="D26" s="3">
        <v>75990855</v>
      </c>
      <c r="E26" s="3">
        <v>30956072</v>
      </c>
      <c r="F26" s="3">
        <v>7984139</v>
      </c>
      <c r="G26" s="3">
        <v>322427</v>
      </c>
      <c r="H26" s="4">
        <f t="shared" si="0"/>
        <v>0.22706713887096056</v>
      </c>
    </row>
    <row r="27" spans="1:8" x14ac:dyDescent="0.3">
      <c r="A27" s="2">
        <v>2013</v>
      </c>
      <c r="B27" s="3">
        <v>115676520</v>
      </c>
      <c r="C27" s="3">
        <v>107285202</v>
      </c>
      <c r="D27" s="3">
        <v>78268220</v>
      </c>
      <c r="E27" s="3">
        <v>32019672</v>
      </c>
      <c r="F27" s="3">
        <v>7985682</v>
      </c>
      <c r="G27" s="3">
        <v>317854</v>
      </c>
      <c r="H27" s="4">
        <f t="shared" si="0"/>
        <v>0.22915385204323252</v>
      </c>
    </row>
    <row r="28" spans="1:8" x14ac:dyDescent="0.3">
      <c r="A28" s="2">
        <v>2014</v>
      </c>
      <c r="B28" s="3">
        <v>117308432</v>
      </c>
      <c r="C28" s="3">
        <v>109178902</v>
      </c>
      <c r="D28" s="3">
        <v>77894909</v>
      </c>
      <c r="E28" s="3">
        <v>31963909</v>
      </c>
      <c r="F28" s="3">
        <v>8042393</v>
      </c>
      <c r="G28" s="3">
        <v>319555</v>
      </c>
      <c r="H28" s="4">
        <f t="shared" si="0"/>
        <v>0.22597353819071847</v>
      </c>
    </row>
    <row r="29" spans="1:8" x14ac:dyDescent="0.3">
      <c r="A29" s="2">
        <v>2015</v>
      </c>
      <c r="B29" s="3">
        <v>115984770</v>
      </c>
      <c r="C29" s="3">
        <v>112673292</v>
      </c>
      <c r="D29" s="3">
        <v>78086959</v>
      </c>
      <c r="E29" s="3">
        <v>32519270</v>
      </c>
      <c r="F29" s="3">
        <v>8187613</v>
      </c>
      <c r="G29" s="3">
        <v>321206</v>
      </c>
      <c r="H29" s="4">
        <f t="shared" si="0"/>
        <v>0.22453420564919468</v>
      </c>
    </row>
    <row r="30" spans="1:8" x14ac:dyDescent="0.3">
      <c r="A30" s="2">
        <v>2016</v>
      </c>
      <c r="B30" s="3">
        <v>115810914</v>
      </c>
      <c r="C30" s="3">
        <v>115168296</v>
      </c>
      <c r="D30" s="3">
        <v>78965793</v>
      </c>
      <c r="E30" s="3">
        <v>33007125</v>
      </c>
      <c r="F30" s="3">
        <v>8346895</v>
      </c>
      <c r="G30" s="3">
        <v>303515</v>
      </c>
      <c r="H30" s="4">
        <f t="shared" si="0"/>
        <v>0.22458823377435347</v>
      </c>
    </row>
    <row r="31" spans="1:8" x14ac:dyDescent="0.3">
      <c r="A31" s="2">
        <v>2017</v>
      </c>
      <c r="B31" s="3">
        <v>116770083</v>
      </c>
      <c r="C31" s="3">
        <v>117957993</v>
      </c>
      <c r="D31" s="3">
        <v>80521356</v>
      </c>
      <c r="E31" s="3">
        <v>33525188</v>
      </c>
      <c r="F31" s="3">
        <v>8688923</v>
      </c>
      <c r="G31" s="3">
        <v>319100</v>
      </c>
      <c r="H31" s="4">
        <f t="shared" si="0"/>
        <v>0.22505663026252506</v>
      </c>
    </row>
    <row r="32" spans="1:8" x14ac:dyDescent="0.3">
      <c r="A32" s="2">
        <v>2018</v>
      </c>
      <c r="B32" s="3">
        <v>118521323</v>
      </c>
      <c r="C32" s="3">
        <v>121172343</v>
      </c>
      <c r="D32" s="3">
        <v>82862939</v>
      </c>
      <c r="E32" s="3">
        <v>34338428</v>
      </c>
      <c r="F32" s="3">
        <v>8869435</v>
      </c>
      <c r="G32" s="3">
        <v>331066</v>
      </c>
      <c r="H32" s="4">
        <f t="shared" si="0"/>
        <v>0.22634239236581347</v>
      </c>
    </row>
    <row r="33" spans="1:8" x14ac:dyDescent="0.3">
      <c r="A33" s="2">
        <v>2019</v>
      </c>
      <c r="B33" s="3">
        <v>119027464</v>
      </c>
      <c r="C33" s="3">
        <v>122652910</v>
      </c>
      <c r="D33" s="3">
        <v>82611195</v>
      </c>
      <c r="E33" s="3">
        <v>34563892</v>
      </c>
      <c r="F33" s="3">
        <v>8842650</v>
      </c>
      <c r="G33" s="3">
        <v>335938</v>
      </c>
      <c r="H33" s="4">
        <f t="shared" si="0"/>
        <v>0.22446617432399577</v>
      </c>
    </row>
    <row r="34" spans="1:8" x14ac:dyDescent="0.3">
      <c r="A34" s="2">
        <v>2020</v>
      </c>
      <c r="B34" s="3">
        <v>118450645</v>
      </c>
      <c r="C34" s="3">
        <v>106713212</v>
      </c>
      <c r="D34" s="3">
        <v>83387286</v>
      </c>
      <c r="E34" s="3">
        <v>32549166</v>
      </c>
      <c r="F34" s="3">
        <v>8811687</v>
      </c>
      <c r="G34" s="3">
        <v>334518</v>
      </c>
      <c r="H34" s="4">
        <f t="shared" si="0"/>
        <v>0.23808170150695632</v>
      </c>
    </row>
    <row r="35" spans="1:8" x14ac:dyDescent="0.3">
      <c r="A35" s="2">
        <v>2021</v>
      </c>
      <c r="B35" s="3">
        <v>124601786</v>
      </c>
      <c r="C35" s="3">
        <v>115210842</v>
      </c>
      <c r="D35" s="3">
        <v>85171809</v>
      </c>
      <c r="E35" s="3">
        <v>34270130</v>
      </c>
      <c r="F35" s="3">
        <v>9059998</v>
      </c>
      <c r="G35" s="3">
        <v>323178</v>
      </c>
      <c r="H35" s="4">
        <f t="shared" si="0"/>
        <v>0.23104473325727801</v>
      </c>
    </row>
    <row r="36" spans="1:8" x14ac:dyDescent="0.3">
      <c r="A36" s="2">
        <v>2022</v>
      </c>
      <c r="B36" s="3">
        <v>126196753</v>
      </c>
      <c r="C36" s="3">
        <v>119728497</v>
      </c>
      <c r="D36" s="3">
        <v>84985047</v>
      </c>
      <c r="E36" s="3">
        <v>34388938</v>
      </c>
      <c r="F36" s="3">
        <v>9285927</v>
      </c>
      <c r="G36" s="3">
        <v>323591</v>
      </c>
      <c r="H36" s="4">
        <f t="shared" si="0"/>
        <v>0.22668194946091322</v>
      </c>
    </row>
    <row r="37" spans="1:8" x14ac:dyDescent="0.3">
      <c r="A37" s="2">
        <v>2023</v>
      </c>
      <c r="B37" s="3">
        <v>128950177</v>
      </c>
      <c r="C37" s="3">
        <v>122904119</v>
      </c>
      <c r="D37" s="3">
        <v>84171150</v>
      </c>
      <c r="E37" s="3">
        <v>34520014</v>
      </c>
      <c r="F37" s="3">
        <v>9585918</v>
      </c>
      <c r="G37" s="3">
        <v>336174</v>
      </c>
      <c r="H37" s="4">
        <f t="shared" si="0"/>
        <v>0.22123082391005056</v>
      </c>
    </row>
    <row r="38" spans="1:8" x14ac:dyDescent="0.3">
      <c r="A38" s="2" t="s">
        <v>49</v>
      </c>
      <c r="B38" s="3">
        <v>3296784107</v>
      </c>
      <c r="C38" s="3">
        <v>3210995153</v>
      </c>
      <c r="D38" s="3">
        <v>2527049230</v>
      </c>
      <c r="E38" s="3">
        <v>938063515</v>
      </c>
      <c r="F38" s="3">
        <v>258358548</v>
      </c>
      <c r="G38" s="3">
        <v>10199982</v>
      </c>
      <c r="H38" s="4">
        <f t="shared" si="0"/>
        <v>0.2467471986867337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B112-1EC3-47E1-9AB7-C65476F0BBA5}">
  <dimension ref="A1:L35"/>
  <sheetViews>
    <sheetView workbookViewId="0">
      <selection activeCell="K1" sqref="K1"/>
    </sheetView>
  </sheetViews>
  <sheetFormatPr defaultRowHeight="14.4" x14ac:dyDescent="0.3"/>
  <cols>
    <col min="1" max="1" width="5" bestFit="1" customWidth="1"/>
    <col min="2" max="3" width="14.6640625" style="6" bestFit="1" customWidth="1"/>
    <col min="4" max="4" width="13.6640625" style="6" bestFit="1" customWidth="1"/>
    <col min="5" max="5" width="27" style="6" bestFit="1" customWidth="1"/>
    <col min="6" max="6" width="19.88671875" style="6" bestFit="1" customWidth="1"/>
    <col min="7" max="7" width="11.21875" style="6" bestFit="1" customWidth="1"/>
    <col min="8" max="8" width="17.109375" style="6" bestFit="1" customWidth="1"/>
    <col min="9" max="9" width="13.77734375" style="6" bestFit="1" customWidth="1"/>
    <col min="10" max="11" width="22.109375" customWidth="1"/>
    <col min="12" max="12" width="5.109375" bestFit="1" customWidth="1"/>
  </cols>
  <sheetData>
    <row r="1" spans="1:12" x14ac:dyDescent="0.3">
      <c r="A1" t="s">
        <v>47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4" t="s">
        <v>57</v>
      </c>
      <c r="K1" s="4"/>
      <c r="L1" t="s">
        <v>45</v>
      </c>
    </row>
    <row r="2" spans="1:12" x14ac:dyDescent="0.3">
      <c r="A2">
        <v>1990</v>
      </c>
      <c r="B2" s="6">
        <v>75255156</v>
      </c>
      <c r="C2" s="6">
        <v>66064160</v>
      </c>
      <c r="D2" s="6">
        <v>60636460</v>
      </c>
      <c r="E2" s="6">
        <v>19024389</v>
      </c>
      <c r="F2" s="6">
        <v>6848724</v>
      </c>
      <c r="G2" s="6">
        <v>260064</v>
      </c>
      <c r="H2" s="6">
        <v>10784333</v>
      </c>
      <c r="I2" s="6">
        <v>19999025</v>
      </c>
      <c r="J2" s="4">
        <f>H2/SUM(B2:I2)</f>
        <v>4.1658889505567863E-2</v>
      </c>
      <c r="K2" s="4"/>
      <c r="L2" t="s">
        <v>46</v>
      </c>
    </row>
    <row r="3" spans="1:12" x14ac:dyDescent="0.3">
      <c r="A3">
        <v>1991</v>
      </c>
      <c r="B3" s="6">
        <v>74981679</v>
      </c>
      <c r="C3" s="6">
        <v>66592780</v>
      </c>
      <c r="D3" s="6">
        <v>61768304</v>
      </c>
      <c r="E3" s="6">
        <v>19567787</v>
      </c>
      <c r="F3" s="6">
        <v>6964157</v>
      </c>
      <c r="G3" s="6">
        <v>267742</v>
      </c>
      <c r="H3" s="6">
        <v>10914028</v>
      </c>
      <c r="I3" s="6">
        <v>19999025</v>
      </c>
      <c r="J3" s="4">
        <f>H3/SUM(B3:I3)</f>
        <v>4.1807308853425353E-2</v>
      </c>
      <c r="K3" s="4"/>
      <c r="L3" t="s">
        <v>46</v>
      </c>
    </row>
    <row r="4" spans="1:12" x14ac:dyDescent="0.3">
      <c r="A4">
        <v>1992</v>
      </c>
      <c r="B4" s="6">
        <v>73524961</v>
      </c>
      <c r="C4" s="6">
        <v>68025526</v>
      </c>
      <c r="D4" s="6">
        <v>61883547</v>
      </c>
      <c r="E4" s="6">
        <v>19023351</v>
      </c>
      <c r="F4" s="6">
        <v>6674631</v>
      </c>
      <c r="G4" s="6">
        <v>278436</v>
      </c>
      <c r="H4" s="6">
        <v>10361830</v>
      </c>
      <c r="I4" s="6">
        <v>19999025</v>
      </c>
      <c r="J4" s="4">
        <f>H4/SUM(B4:I4)</f>
        <v>3.988827757639915E-2</v>
      </c>
      <c r="K4" s="4"/>
      <c r="L4" t="s">
        <v>46</v>
      </c>
    </row>
    <row r="5" spans="1:12" x14ac:dyDescent="0.3">
      <c r="A5">
        <v>1993</v>
      </c>
      <c r="B5" s="6">
        <v>72709092</v>
      </c>
      <c r="C5" s="6">
        <v>68709868</v>
      </c>
      <c r="D5" s="6">
        <v>67926854</v>
      </c>
      <c r="E5" s="6">
        <v>20114064</v>
      </c>
      <c r="F5" s="6">
        <v>6915734</v>
      </c>
      <c r="G5" s="6">
        <v>259920</v>
      </c>
      <c r="H5" s="6">
        <v>5209356</v>
      </c>
      <c r="I5" s="6">
        <v>19999025</v>
      </c>
      <c r="J5" s="4">
        <f>H5/SUM(B5:I5)</f>
        <v>1.9894890586973468E-2</v>
      </c>
      <c r="K5" s="4"/>
      <c r="L5" t="s">
        <v>46</v>
      </c>
    </row>
    <row r="6" spans="1:12" x14ac:dyDescent="0.3">
      <c r="A6">
        <v>1994</v>
      </c>
      <c r="B6" s="6">
        <v>72608328</v>
      </c>
      <c r="C6" s="6">
        <v>70070007</v>
      </c>
      <c r="D6" s="6">
        <v>67087976</v>
      </c>
      <c r="E6" s="6">
        <v>20656158</v>
      </c>
      <c r="F6" s="6">
        <v>7060423</v>
      </c>
      <c r="G6" s="6">
        <v>262302</v>
      </c>
      <c r="H6" s="6">
        <v>4703136</v>
      </c>
      <c r="I6" s="6">
        <v>19999025</v>
      </c>
      <c r="J6" s="4">
        <f>H6/SUM(B6:I6)</f>
        <v>1.7920302530768505E-2</v>
      </c>
      <c r="K6" s="4"/>
      <c r="L6" t="s">
        <v>46</v>
      </c>
    </row>
    <row r="7" spans="1:12" x14ac:dyDescent="0.3">
      <c r="A7">
        <v>1995</v>
      </c>
      <c r="B7" s="6">
        <v>75018375</v>
      </c>
      <c r="C7" s="6">
        <v>71964245</v>
      </c>
      <c r="D7" s="6">
        <v>68477667</v>
      </c>
      <c r="E7" s="6">
        <v>21217404</v>
      </c>
      <c r="F7" s="6">
        <v>7268594</v>
      </c>
      <c r="G7" s="6">
        <v>260571</v>
      </c>
      <c r="H7" s="6">
        <v>3596099</v>
      </c>
      <c r="I7" s="6">
        <v>19999025</v>
      </c>
      <c r="J7" s="4">
        <f>H7/SUM(B7:I7)</f>
        <v>1.342820168842665E-2</v>
      </c>
      <c r="K7" s="4"/>
      <c r="L7" t="s">
        <v>46</v>
      </c>
    </row>
    <row r="8" spans="1:12" x14ac:dyDescent="0.3">
      <c r="A8">
        <v>1996</v>
      </c>
      <c r="B8" s="6">
        <v>74080972</v>
      </c>
      <c r="C8" s="6">
        <v>74819471</v>
      </c>
      <c r="D8" s="6">
        <v>69785903</v>
      </c>
      <c r="E8" s="6">
        <v>22439271</v>
      </c>
      <c r="F8" s="6">
        <v>6677581</v>
      </c>
      <c r="G8" s="6">
        <v>273412</v>
      </c>
      <c r="H8" s="6">
        <v>3318801</v>
      </c>
      <c r="I8" s="6">
        <v>19999025</v>
      </c>
      <c r="J8" s="4">
        <f>H8/SUM(B8:I8)</f>
        <v>1.222869948593935E-2</v>
      </c>
      <c r="K8" s="4"/>
      <c r="L8" t="s">
        <v>46</v>
      </c>
    </row>
    <row r="9" spans="1:12" x14ac:dyDescent="0.3">
      <c r="A9">
        <v>1997</v>
      </c>
      <c r="B9" s="6">
        <v>74872036</v>
      </c>
      <c r="C9" s="6">
        <v>75882338</v>
      </c>
      <c r="D9" s="6">
        <v>69738046</v>
      </c>
      <c r="E9" s="6">
        <v>22507434</v>
      </c>
      <c r="F9" s="6">
        <v>7223965</v>
      </c>
      <c r="G9" s="6">
        <v>268100</v>
      </c>
      <c r="H9" s="6">
        <v>3214859</v>
      </c>
      <c r="I9" s="6">
        <v>19999025</v>
      </c>
      <c r="J9" s="4">
        <f>H9/SUM(B9:I9)</f>
        <v>1.1745673510619722E-2</v>
      </c>
      <c r="K9" s="4"/>
      <c r="L9" t="s">
        <v>46</v>
      </c>
    </row>
    <row r="10" spans="1:12" x14ac:dyDescent="0.3">
      <c r="A10">
        <v>1998</v>
      </c>
      <c r="B10" s="6">
        <v>74853265</v>
      </c>
      <c r="C10" s="6">
        <v>77657690</v>
      </c>
      <c r="D10" s="6">
        <v>69035379</v>
      </c>
      <c r="E10" s="6">
        <v>22526443</v>
      </c>
      <c r="F10" s="6">
        <v>7121279</v>
      </c>
      <c r="G10" s="6">
        <v>247975</v>
      </c>
      <c r="H10" s="6">
        <v>3092482</v>
      </c>
      <c r="I10" s="6">
        <v>19999025</v>
      </c>
      <c r="J10" s="4">
        <f>H10/SUM(B10:I10)</f>
        <v>1.126449621612351E-2</v>
      </c>
      <c r="K10" s="4"/>
      <c r="L10" t="s">
        <v>46</v>
      </c>
    </row>
    <row r="11" spans="1:12" x14ac:dyDescent="0.3">
      <c r="A11">
        <v>1999</v>
      </c>
      <c r="B11" s="6">
        <v>74902578</v>
      </c>
      <c r="C11" s="6">
        <v>79887320</v>
      </c>
      <c r="D11" s="6">
        <v>70197016</v>
      </c>
      <c r="E11" s="6">
        <v>23490807</v>
      </c>
      <c r="F11" s="6">
        <v>7107171</v>
      </c>
      <c r="G11" s="6">
        <v>238565</v>
      </c>
      <c r="H11" s="6">
        <v>3240606</v>
      </c>
      <c r="I11" s="6">
        <v>19999025</v>
      </c>
      <c r="J11" s="4">
        <f>H11/SUM(B11:I11)</f>
        <v>1.1612449440106533E-2</v>
      </c>
      <c r="K11" s="4"/>
      <c r="L11" t="s">
        <v>46</v>
      </c>
    </row>
    <row r="12" spans="1:12" x14ac:dyDescent="0.3">
      <c r="A12">
        <v>2000</v>
      </c>
      <c r="B12" s="6">
        <v>78041488</v>
      </c>
      <c r="C12" s="6">
        <v>82290273</v>
      </c>
      <c r="D12" s="6">
        <v>70748578</v>
      </c>
      <c r="E12" s="6">
        <v>23408414</v>
      </c>
      <c r="F12" s="6">
        <v>6166509</v>
      </c>
      <c r="G12" s="6">
        <v>262635</v>
      </c>
      <c r="H12" s="6">
        <v>3176070</v>
      </c>
      <c r="I12" s="6">
        <v>19999025</v>
      </c>
      <c r="J12" s="4">
        <f>H12/SUM(B12:I12)</f>
        <v>1.1179684432342492E-2</v>
      </c>
      <c r="K12" s="4"/>
      <c r="L12" t="s">
        <v>46</v>
      </c>
    </row>
    <row r="13" spans="1:12" x14ac:dyDescent="0.3">
      <c r="A13">
        <v>2001</v>
      </c>
      <c r="B13" s="6">
        <v>77867151</v>
      </c>
      <c r="C13" s="6">
        <v>82744266</v>
      </c>
      <c r="D13" s="6">
        <v>71224256</v>
      </c>
      <c r="E13" s="6">
        <v>23814537</v>
      </c>
      <c r="F13" s="6">
        <v>6227874</v>
      </c>
      <c r="G13" s="6">
        <v>268575</v>
      </c>
      <c r="H13" s="6">
        <v>3225259</v>
      </c>
      <c r="I13" s="6">
        <v>19999025</v>
      </c>
      <c r="J13" s="4">
        <f>H13/SUM(B13:I13)</f>
        <v>1.1301988093440895E-2</v>
      </c>
      <c r="K13" s="4"/>
      <c r="L13" t="s">
        <v>46</v>
      </c>
    </row>
    <row r="14" spans="1:12" x14ac:dyDescent="0.3">
      <c r="A14">
        <v>2002</v>
      </c>
      <c r="B14" s="6">
        <v>78060027</v>
      </c>
      <c r="C14" s="6">
        <v>84983738</v>
      </c>
      <c r="D14" s="6">
        <v>71548629</v>
      </c>
      <c r="E14" s="6">
        <v>24358635</v>
      </c>
      <c r="F14" s="6">
        <v>6420360</v>
      </c>
      <c r="G14" s="6">
        <v>265603</v>
      </c>
      <c r="H14" s="6">
        <v>3834495</v>
      </c>
      <c r="I14" s="6">
        <v>19999025</v>
      </c>
      <c r="J14" s="4">
        <f>H14/SUM(B14:I14)</f>
        <v>1.3246582436003015E-2</v>
      </c>
      <c r="K14" s="4"/>
      <c r="L14" t="s">
        <v>46</v>
      </c>
    </row>
    <row r="15" spans="1:12" x14ac:dyDescent="0.3">
      <c r="A15">
        <v>2003</v>
      </c>
      <c r="B15" s="6">
        <v>81414744</v>
      </c>
      <c r="C15" s="6">
        <v>86828984</v>
      </c>
      <c r="D15" s="6">
        <v>73217352</v>
      </c>
      <c r="E15" s="6">
        <v>25434432</v>
      </c>
      <c r="F15" s="6">
        <v>6504992</v>
      </c>
      <c r="G15" s="6">
        <v>322061</v>
      </c>
      <c r="H15" s="6">
        <v>4058663</v>
      </c>
      <c r="I15" s="6">
        <v>19999025</v>
      </c>
      <c r="J15" s="4">
        <f>H15/SUM(B15:I15)</f>
        <v>1.3629725138288468E-2</v>
      </c>
      <c r="K15" s="4"/>
      <c r="L15" t="s">
        <v>46</v>
      </c>
    </row>
    <row r="16" spans="1:12" x14ac:dyDescent="0.3">
      <c r="A16">
        <v>2004</v>
      </c>
      <c r="B16" s="6">
        <v>87525661</v>
      </c>
      <c r="C16" s="6">
        <v>90846802</v>
      </c>
      <c r="D16" s="6">
        <v>73839106</v>
      </c>
      <c r="E16" s="6">
        <v>26340343</v>
      </c>
      <c r="F16" s="6">
        <v>6930801</v>
      </c>
      <c r="G16" s="6">
        <v>332200</v>
      </c>
      <c r="H16" s="6">
        <v>4147337</v>
      </c>
      <c r="I16" s="6">
        <v>19999025</v>
      </c>
      <c r="J16" s="4">
        <f>H16/SUM(B16:I16)</f>
        <v>1.338017789480315E-2</v>
      </c>
      <c r="K16" s="4"/>
      <c r="L16" t="s">
        <v>46</v>
      </c>
    </row>
    <row r="17" spans="1:12" x14ac:dyDescent="0.3">
      <c r="A17">
        <v>2005</v>
      </c>
      <c r="B17" s="6">
        <v>93281337</v>
      </c>
      <c r="C17" s="6">
        <v>92967987</v>
      </c>
      <c r="D17" s="6">
        <v>74131441</v>
      </c>
      <c r="E17" s="6">
        <v>27459986</v>
      </c>
      <c r="F17" s="6">
        <v>7280965</v>
      </c>
      <c r="G17" s="6">
        <v>342209</v>
      </c>
      <c r="H17" s="6">
        <v>4129261</v>
      </c>
      <c r="I17" s="6">
        <v>19999025</v>
      </c>
      <c r="J17" s="4">
        <f>H17/SUM(B17:I17)</f>
        <v>1.2920405622776583E-2</v>
      </c>
      <c r="K17" s="4"/>
      <c r="L17" t="s">
        <v>46</v>
      </c>
    </row>
    <row r="18" spans="1:12" x14ac:dyDescent="0.3">
      <c r="A18">
        <v>2006</v>
      </c>
      <c r="B18" s="6">
        <v>97785283</v>
      </c>
      <c r="C18" s="6">
        <v>95270693</v>
      </c>
      <c r="D18" s="6">
        <v>74331257</v>
      </c>
      <c r="E18" s="6">
        <v>27910875</v>
      </c>
      <c r="F18" s="6">
        <v>7429422</v>
      </c>
      <c r="G18" s="6">
        <v>318146</v>
      </c>
      <c r="H18" s="6">
        <v>4382353</v>
      </c>
      <c r="I18" s="6">
        <v>19999025</v>
      </c>
      <c r="J18" s="4">
        <f>H18/SUM(B18:I18)</f>
        <v>1.3384211678488852E-2</v>
      </c>
      <c r="K18" s="4"/>
      <c r="L18" t="s">
        <v>46</v>
      </c>
    </row>
    <row r="19" spans="1:12" x14ac:dyDescent="0.3">
      <c r="A19">
        <v>2007</v>
      </c>
      <c r="B19" s="6">
        <v>101742175</v>
      </c>
      <c r="C19" s="6">
        <v>98558548</v>
      </c>
      <c r="D19" s="6">
        <v>74522071</v>
      </c>
      <c r="E19" s="6">
        <v>28935509</v>
      </c>
      <c r="F19" s="6">
        <v>7466834</v>
      </c>
      <c r="G19" s="6">
        <v>323345</v>
      </c>
      <c r="H19" s="6">
        <v>4447971</v>
      </c>
      <c r="I19" s="6">
        <v>19999025</v>
      </c>
      <c r="J19" s="4">
        <f>H19/SUM(B19:I19)</f>
        <v>1.3238187092506048E-2</v>
      </c>
      <c r="K19" s="4"/>
      <c r="L19" t="s">
        <v>46</v>
      </c>
    </row>
    <row r="20" spans="1:12" x14ac:dyDescent="0.3">
      <c r="A20">
        <v>2008</v>
      </c>
      <c r="B20" s="6">
        <v>102790413</v>
      </c>
      <c r="C20" s="6">
        <v>99127390</v>
      </c>
      <c r="D20" s="6">
        <v>75285350</v>
      </c>
      <c r="E20" s="6">
        <v>29990668</v>
      </c>
      <c r="F20" s="6">
        <v>7448896</v>
      </c>
      <c r="G20" s="6">
        <v>297764</v>
      </c>
      <c r="H20" s="6">
        <v>4672255</v>
      </c>
      <c r="I20" s="6">
        <v>19999025</v>
      </c>
      <c r="J20" s="4">
        <f>H20/SUM(B20:I20)</f>
        <v>1.3757636031927646E-2</v>
      </c>
      <c r="K20" s="4"/>
      <c r="L20" t="s">
        <v>46</v>
      </c>
    </row>
    <row r="21" spans="1:12" x14ac:dyDescent="0.3">
      <c r="A21">
        <v>2009</v>
      </c>
      <c r="B21" s="6">
        <v>100171205</v>
      </c>
      <c r="C21" s="6">
        <v>97396323</v>
      </c>
      <c r="D21" s="6">
        <v>75126127</v>
      </c>
      <c r="E21" s="6">
        <v>29783112</v>
      </c>
      <c r="F21" s="6">
        <v>7351755</v>
      </c>
      <c r="G21" s="6">
        <v>314414</v>
      </c>
      <c r="H21" s="6">
        <v>4291011</v>
      </c>
      <c r="I21" s="6">
        <v>19999025</v>
      </c>
      <c r="J21" s="4">
        <f>H21/SUM(B21:I21)</f>
        <v>1.2830705580070616E-2</v>
      </c>
      <c r="K21" s="4"/>
      <c r="L21" t="s">
        <v>46</v>
      </c>
    </row>
    <row r="22" spans="1:12" x14ac:dyDescent="0.3">
      <c r="A22">
        <v>2010</v>
      </c>
      <c r="B22" s="6">
        <v>109706955</v>
      </c>
      <c r="C22" s="6">
        <v>101769741</v>
      </c>
      <c r="D22" s="6">
        <v>77188119</v>
      </c>
      <c r="E22" s="6">
        <v>30773574</v>
      </c>
      <c r="F22" s="6">
        <v>7619768</v>
      </c>
      <c r="G22" s="6">
        <v>331356</v>
      </c>
      <c r="H22" s="6">
        <v>4395559</v>
      </c>
      <c r="I22" s="6">
        <v>19999025</v>
      </c>
      <c r="J22" s="4">
        <f>H22/SUM(B22:I22)</f>
        <v>1.2495047494998046E-2</v>
      </c>
      <c r="K22" s="4"/>
      <c r="L22" t="s">
        <v>46</v>
      </c>
    </row>
    <row r="23" spans="1:12" x14ac:dyDescent="0.3">
      <c r="A23">
        <v>2011</v>
      </c>
      <c r="B23" s="6">
        <v>113242546</v>
      </c>
      <c r="C23" s="6">
        <v>103532207</v>
      </c>
      <c r="D23" s="6">
        <v>76432274</v>
      </c>
      <c r="E23" s="6">
        <v>30664518</v>
      </c>
      <c r="F23" s="6">
        <v>7956853</v>
      </c>
      <c r="G23" s="6">
        <v>316465</v>
      </c>
      <c r="H23" s="6">
        <v>4431016</v>
      </c>
      <c r="I23" s="6">
        <v>19999025</v>
      </c>
      <c r="J23" s="4">
        <f>H23/SUM(B23:I23)</f>
        <v>1.2426606444518597E-2</v>
      </c>
      <c r="K23" s="4"/>
      <c r="L23" t="s">
        <v>46</v>
      </c>
    </row>
    <row r="24" spans="1:12" x14ac:dyDescent="0.3">
      <c r="A24">
        <v>2012</v>
      </c>
      <c r="B24" s="6">
        <v>115049813</v>
      </c>
      <c r="C24" s="6">
        <v>104359188</v>
      </c>
      <c r="D24" s="6">
        <v>75990855</v>
      </c>
      <c r="E24" s="6">
        <v>30956072</v>
      </c>
      <c r="F24" s="6">
        <v>7984139</v>
      </c>
      <c r="G24" s="6">
        <v>322427</v>
      </c>
      <c r="H24" s="6">
        <v>4779970</v>
      </c>
      <c r="I24" s="6">
        <v>19999025</v>
      </c>
      <c r="J24" s="4">
        <f>H24/SUM(B24:I24)</f>
        <v>1.3298325725553624E-2</v>
      </c>
      <c r="K24" s="4"/>
      <c r="L24" t="s">
        <v>46</v>
      </c>
    </row>
    <row r="25" spans="1:12" x14ac:dyDescent="0.3">
      <c r="A25">
        <v>2013</v>
      </c>
      <c r="B25" s="6">
        <v>115676520</v>
      </c>
      <c r="C25" s="6">
        <v>107285202</v>
      </c>
      <c r="D25" s="6">
        <v>78268220</v>
      </c>
      <c r="E25" s="6">
        <v>32019672</v>
      </c>
      <c r="F25" s="6">
        <v>7985682</v>
      </c>
      <c r="G25" s="6">
        <v>317854</v>
      </c>
      <c r="H25" s="6">
        <v>5124984</v>
      </c>
      <c r="I25" s="6">
        <v>19999025</v>
      </c>
      <c r="J25" s="4">
        <f>H25/SUM(B25:I25)</f>
        <v>1.3976829137590215E-2</v>
      </c>
      <c r="K25" s="4"/>
      <c r="L25" t="s">
        <v>46</v>
      </c>
    </row>
    <row r="26" spans="1:12" x14ac:dyDescent="0.3">
      <c r="A26">
        <v>2014</v>
      </c>
      <c r="B26" s="6">
        <v>117308432</v>
      </c>
      <c r="C26" s="6">
        <v>109178902</v>
      </c>
      <c r="D26" s="6">
        <v>77894909</v>
      </c>
      <c r="E26" s="6">
        <v>31963909</v>
      </c>
      <c r="F26" s="6">
        <v>8042393</v>
      </c>
      <c r="G26" s="6">
        <v>319555</v>
      </c>
      <c r="H26" s="6">
        <v>5350046</v>
      </c>
      <c r="I26" s="6">
        <v>19999025</v>
      </c>
      <c r="J26" s="4">
        <f>H26/SUM(B26:I26)</f>
        <v>1.4457349888782455E-2</v>
      </c>
      <c r="K26" s="4"/>
      <c r="L26" t="s">
        <v>46</v>
      </c>
    </row>
    <row r="27" spans="1:12" x14ac:dyDescent="0.3">
      <c r="A27">
        <v>2015</v>
      </c>
      <c r="B27" s="6">
        <v>115984770</v>
      </c>
      <c r="C27" s="6">
        <v>112673292</v>
      </c>
      <c r="D27" s="6">
        <v>78086959</v>
      </c>
      <c r="E27" s="6">
        <v>32519270</v>
      </c>
      <c r="F27" s="6">
        <v>8187613</v>
      </c>
      <c r="G27" s="6">
        <v>321206</v>
      </c>
      <c r="H27" s="6">
        <v>5549339</v>
      </c>
      <c r="I27" s="6">
        <v>19999025</v>
      </c>
      <c r="J27" s="4">
        <f>H27/SUM(B27:I27)</f>
        <v>1.4864773088300835E-2</v>
      </c>
      <c r="K27" s="4"/>
      <c r="L27" t="s">
        <v>46</v>
      </c>
    </row>
    <row r="28" spans="1:12" x14ac:dyDescent="0.3">
      <c r="A28">
        <v>2016</v>
      </c>
      <c r="B28" s="6">
        <v>115810914</v>
      </c>
      <c r="C28" s="6">
        <v>115168296</v>
      </c>
      <c r="D28" s="6">
        <v>78965793</v>
      </c>
      <c r="E28" s="6">
        <v>33007125</v>
      </c>
      <c r="F28" s="6">
        <v>8346895</v>
      </c>
      <c r="G28" s="6">
        <v>303515</v>
      </c>
      <c r="H28" s="6">
        <v>6003128</v>
      </c>
      <c r="I28" s="6">
        <v>19999025</v>
      </c>
      <c r="J28" s="4">
        <f>H28/SUM(B28:I28)</f>
        <v>1.5897916903791855E-2</v>
      </c>
      <c r="K28" s="4"/>
      <c r="L28" t="s">
        <v>46</v>
      </c>
    </row>
    <row r="29" spans="1:12" x14ac:dyDescent="0.3">
      <c r="A29">
        <v>2017</v>
      </c>
      <c r="B29" s="6">
        <v>116770083</v>
      </c>
      <c r="C29" s="6">
        <v>117957993</v>
      </c>
      <c r="D29" s="6">
        <v>80521356</v>
      </c>
      <c r="E29" s="6">
        <v>33525188</v>
      </c>
      <c r="F29" s="6">
        <v>8688923</v>
      </c>
      <c r="G29" s="6">
        <v>319100</v>
      </c>
      <c r="H29" s="6">
        <v>6186230</v>
      </c>
      <c r="I29" s="6">
        <v>19999025</v>
      </c>
      <c r="J29" s="4">
        <f>H29/SUM(B29:I29)</f>
        <v>1.6111320847973599E-2</v>
      </c>
      <c r="K29" s="4"/>
      <c r="L29" t="s">
        <v>46</v>
      </c>
    </row>
    <row r="30" spans="1:12" x14ac:dyDescent="0.3">
      <c r="A30">
        <v>2018</v>
      </c>
      <c r="B30" s="6">
        <v>118521323</v>
      </c>
      <c r="C30" s="6">
        <v>121172343</v>
      </c>
      <c r="D30" s="6">
        <v>82862939</v>
      </c>
      <c r="E30" s="6">
        <v>34338428</v>
      </c>
      <c r="F30" s="6">
        <v>8869435</v>
      </c>
      <c r="G30" s="6">
        <v>331066</v>
      </c>
      <c r="H30" s="6">
        <v>5948916</v>
      </c>
      <c r="I30" s="6">
        <v>19999025</v>
      </c>
      <c r="J30" s="4">
        <f>H30/SUM(B30:I30)</f>
        <v>1.5174123227022208E-2</v>
      </c>
      <c r="K30" s="4"/>
      <c r="L30" t="s">
        <v>46</v>
      </c>
    </row>
    <row r="31" spans="1:12" x14ac:dyDescent="0.3">
      <c r="A31">
        <v>2019</v>
      </c>
      <c r="B31" s="6">
        <v>119027464</v>
      </c>
      <c r="C31" s="6">
        <v>122652910</v>
      </c>
      <c r="D31" s="6">
        <v>82611195</v>
      </c>
      <c r="E31" s="6">
        <v>34563892</v>
      </c>
      <c r="F31" s="6">
        <v>8842650</v>
      </c>
      <c r="G31" s="6">
        <v>335938</v>
      </c>
      <c r="H31" s="6">
        <v>5866368</v>
      </c>
      <c r="I31" s="6">
        <v>19999025</v>
      </c>
      <c r="J31" s="4">
        <f>H31/SUM(B31:I31)</f>
        <v>1.4893059939902123E-2</v>
      </c>
      <c r="K31" s="4"/>
      <c r="L31" t="s">
        <v>46</v>
      </c>
    </row>
    <row r="32" spans="1:12" x14ac:dyDescent="0.3">
      <c r="A32">
        <v>2020</v>
      </c>
      <c r="B32" s="6">
        <v>118450645</v>
      </c>
      <c r="C32" s="6">
        <v>106713212</v>
      </c>
      <c r="D32" s="6">
        <v>83387286</v>
      </c>
      <c r="E32" s="6">
        <v>32549166</v>
      </c>
      <c r="F32" s="6">
        <v>8811687</v>
      </c>
      <c r="G32" s="6">
        <v>334518</v>
      </c>
      <c r="H32" s="6">
        <v>5890816</v>
      </c>
      <c r="I32" s="6">
        <v>19999025</v>
      </c>
      <c r="J32" s="4">
        <f>H32/SUM(B32:I32)</f>
        <v>1.5661384287089186E-2</v>
      </c>
      <c r="K32" s="4"/>
      <c r="L32" t="s">
        <v>46</v>
      </c>
    </row>
    <row r="33" spans="1:12" x14ac:dyDescent="0.3">
      <c r="A33">
        <v>2021</v>
      </c>
      <c r="B33" s="6">
        <v>124601786</v>
      </c>
      <c r="C33" s="6">
        <v>115210842</v>
      </c>
      <c r="D33" s="6">
        <v>85171809</v>
      </c>
      <c r="E33" s="6">
        <v>34270130</v>
      </c>
      <c r="F33" s="6">
        <v>9059998</v>
      </c>
      <c r="G33" s="6">
        <v>323178</v>
      </c>
      <c r="H33" s="6">
        <v>5719690</v>
      </c>
      <c r="I33" s="6">
        <v>19999025</v>
      </c>
      <c r="J33" s="4">
        <f>H33/SUM(B33:I33)</f>
        <v>1.4503857827022069E-2</v>
      </c>
      <c r="K33" s="4"/>
      <c r="L33" t="s">
        <v>46</v>
      </c>
    </row>
    <row r="34" spans="1:12" x14ac:dyDescent="0.3">
      <c r="A34">
        <v>2022</v>
      </c>
      <c r="B34" s="6">
        <v>126196753</v>
      </c>
      <c r="C34" s="6">
        <v>119728497</v>
      </c>
      <c r="D34" s="6">
        <v>84985047</v>
      </c>
      <c r="E34" s="6">
        <v>34388938</v>
      </c>
      <c r="F34" s="6">
        <v>9285927</v>
      </c>
      <c r="G34" s="6">
        <v>323591</v>
      </c>
      <c r="H34" s="6">
        <v>6651950</v>
      </c>
      <c r="I34" s="6">
        <v>19999025</v>
      </c>
      <c r="J34" s="4">
        <f>H34/SUM(B34:I34)</f>
        <v>1.6565281665894546E-2</v>
      </c>
      <c r="K34" s="4"/>
      <c r="L34" t="s">
        <v>46</v>
      </c>
    </row>
    <row r="35" spans="1:12" x14ac:dyDescent="0.3">
      <c r="A35">
        <v>2023</v>
      </c>
      <c r="B35" s="6">
        <v>128950177</v>
      </c>
      <c r="C35" s="6">
        <v>122904119</v>
      </c>
      <c r="D35" s="6">
        <v>84171150</v>
      </c>
      <c r="E35" s="6">
        <v>34520014</v>
      </c>
      <c r="F35" s="6">
        <v>9585918</v>
      </c>
      <c r="G35" s="6">
        <v>336174</v>
      </c>
      <c r="H35" s="6">
        <v>6691395</v>
      </c>
      <c r="I35" s="6">
        <v>19999025</v>
      </c>
      <c r="J35" s="4">
        <f>H35/SUM(B35:I35)</f>
        <v>1.6434395149212504E-2</v>
      </c>
      <c r="K35" s="4"/>
      <c r="L3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14FA-C5E3-4728-BA94-F2A61CD8B89A}">
  <dimension ref="A1:P35"/>
  <sheetViews>
    <sheetView tabSelected="1" topLeftCell="G11" workbookViewId="0">
      <selection activeCell="G16" sqref="G16"/>
    </sheetView>
  </sheetViews>
  <sheetFormatPr defaultRowHeight="14.4" x14ac:dyDescent="0.3"/>
  <cols>
    <col min="1" max="1" width="5" bestFit="1" customWidth="1"/>
    <col min="2" max="3" width="14.6640625" style="6" bestFit="1" customWidth="1"/>
    <col min="4" max="4" width="13.6640625" style="6" bestFit="1" customWidth="1"/>
    <col min="5" max="5" width="27" style="6" bestFit="1" customWidth="1"/>
    <col min="6" max="6" width="24" style="6" customWidth="1"/>
    <col min="7" max="7" width="11.21875" style="6" bestFit="1" customWidth="1"/>
    <col min="8" max="8" width="21.33203125" style="6" customWidth="1"/>
    <col min="9" max="9" width="22.109375" style="12" customWidth="1"/>
    <col min="10" max="10" width="22.109375" style="15" customWidth="1"/>
    <col min="11" max="15" width="22.109375" customWidth="1"/>
    <col min="16" max="16" width="5.109375" bestFit="1" customWidth="1"/>
  </cols>
  <sheetData>
    <row r="1" spans="1:16" x14ac:dyDescent="0.3">
      <c r="A1" s="7" t="s">
        <v>47</v>
      </c>
      <c r="B1" s="8" t="s">
        <v>37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  <c r="I1" s="10" t="s">
        <v>57</v>
      </c>
      <c r="J1" s="13" t="s">
        <v>62</v>
      </c>
      <c r="K1" s="9" t="s">
        <v>58</v>
      </c>
      <c r="L1" s="9" t="s">
        <v>59</v>
      </c>
      <c r="M1" s="9" t="s">
        <v>60</v>
      </c>
      <c r="N1" s="9" t="s">
        <v>63</v>
      </c>
      <c r="O1" s="9" t="s">
        <v>61</v>
      </c>
      <c r="P1" s="7" t="s">
        <v>45</v>
      </c>
    </row>
    <row r="2" spans="1:16" x14ac:dyDescent="0.3">
      <c r="A2">
        <v>1990</v>
      </c>
      <c r="B2" s="6">
        <v>75255156</v>
      </c>
      <c r="C2" s="6">
        <v>66064160</v>
      </c>
      <c r="D2" s="6">
        <v>60636460</v>
      </c>
      <c r="E2" s="6">
        <v>19024389</v>
      </c>
      <c r="F2" s="6">
        <v>6848724</v>
      </c>
      <c r="G2" s="6">
        <v>260064</v>
      </c>
      <c r="H2" s="6">
        <v>10784333</v>
      </c>
      <c r="I2" s="11">
        <f>H2/SUM(B2:H2)</f>
        <v>4.5146668263273272E-2</v>
      </c>
      <c r="J2" s="14">
        <f>D2/SUM(B2:H2)</f>
        <v>0.25384362150902046</v>
      </c>
      <c r="K2" s="4">
        <f>B2/SUM(B2:H2)</f>
        <v>0.31504216005133368</v>
      </c>
      <c r="L2" s="4">
        <f>C2/SUM(B2:H2)</f>
        <v>0.27656571024019821</v>
      </c>
      <c r="M2" s="4">
        <f>E2/SUM(B2:H2)</f>
        <v>7.9642178991919596E-2</v>
      </c>
      <c r="N2" s="4">
        <f>SUM(K2:M2)</f>
        <v>0.67125004928345156</v>
      </c>
      <c r="O2" s="4">
        <f>SUM(F2:G2)/SUM(B2:H2)</f>
        <v>2.9759660944254772E-2</v>
      </c>
      <c r="P2" t="s">
        <v>46</v>
      </c>
    </row>
    <row r="3" spans="1:16" x14ac:dyDescent="0.3">
      <c r="A3">
        <v>1991</v>
      </c>
      <c r="B3" s="6">
        <v>74981679</v>
      </c>
      <c r="C3" s="6">
        <v>66592780</v>
      </c>
      <c r="D3" s="6">
        <v>61768304</v>
      </c>
      <c r="E3" s="6">
        <v>19567787</v>
      </c>
      <c r="F3" s="6">
        <v>6964157</v>
      </c>
      <c r="G3" s="6">
        <v>267742</v>
      </c>
      <c r="H3" s="6">
        <v>10914028</v>
      </c>
      <c r="I3" s="11">
        <f t="shared" ref="I3:I35" si="0">H3/SUM(B3:H3)</f>
        <v>4.5275813103333458E-2</v>
      </c>
      <c r="J3" s="14">
        <f t="shared" ref="J3:J35" si="1">D3/SUM(B3:H3)</f>
        <v>0.25623996819633266</v>
      </c>
      <c r="K3" s="4">
        <f t="shared" ref="K3:K35" si="2">B3/SUM(B3:H3)</f>
        <v>0.31105440489781988</v>
      </c>
      <c r="L3" s="4">
        <f t="shared" ref="L3:L35" si="3">C3/SUM(B3:H3)</f>
        <v>0.276253850669194</v>
      </c>
      <c r="M3" s="4">
        <f t="shared" ref="M3:M35" si="4">E3/SUM(B3:H3)</f>
        <v>8.117511399621094E-2</v>
      </c>
      <c r="N3" s="4">
        <f t="shared" ref="N3:N35" si="5">SUM(K3:M3)</f>
        <v>0.66848336956322485</v>
      </c>
      <c r="O3" s="4">
        <f t="shared" ref="O3:O35" si="6">SUM(F3:G3)/SUM(B3:H3)</f>
        <v>3.000084913710906E-2</v>
      </c>
      <c r="P3" t="s">
        <v>46</v>
      </c>
    </row>
    <row r="4" spans="1:16" x14ac:dyDescent="0.3">
      <c r="A4">
        <v>1992</v>
      </c>
      <c r="B4" s="6">
        <v>73524961</v>
      </c>
      <c r="C4" s="6">
        <v>68025526</v>
      </c>
      <c r="D4" s="6">
        <v>61883547</v>
      </c>
      <c r="E4" s="6">
        <v>19023351</v>
      </c>
      <c r="F4" s="6">
        <v>6674631</v>
      </c>
      <c r="G4" s="6">
        <v>278436</v>
      </c>
      <c r="H4" s="6">
        <v>10361830</v>
      </c>
      <c r="I4" s="11">
        <f t="shared" si="0"/>
        <v>4.3215295419342922E-2</v>
      </c>
      <c r="J4" s="14">
        <f t="shared" si="1"/>
        <v>0.25809299758843685</v>
      </c>
      <c r="K4" s="4">
        <f t="shared" si="2"/>
        <v>0.30664495656758189</v>
      </c>
      <c r="L4" s="4">
        <f t="shared" si="3"/>
        <v>0.2837088817463897</v>
      </c>
      <c r="M4" s="4">
        <f t="shared" si="4"/>
        <v>7.9339241555869244E-2</v>
      </c>
      <c r="N4" s="4">
        <f t="shared" si="5"/>
        <v>0.66969307986984083</v>
      </c>
      <c r="O4" s="4">
        <f t="shared" si="6"/>
        <v>2.899862712237939E-2</v>
      </c>
      <c r="P4" t="s">
        <v>46</v>
      </c>
    </row>
    <row r="5" spans="1:16" x14ac:dyDescent="0.3">
      <c r="A5">
        <v>1993</v>
      </c>
      <c r="B5" s="6">
        <v>72709092</v>
      </c>
      <c r="C5" s="6">
        <v>68709868</v>
      </c>
      <c r="D5" s="6">
        <v>67926854</v>
      </c>
      <c r="E5" s="6">
        <v>20114064</v>
      </c>
      <c r="F5" s="6">
        <v>6915734</v>
      </c>
      <c r="G5" s="6">
        <v>259920</v>
      </c>
      <c r="H5" s="6">
        <v>5209356</v>
      </c>
      <c r="I5" s="11">
        <f t="shared" si="0"/>
        <v>2.1540070758080277E-2</v>
      </c>
      <c r="J5" s="14">
        <f t="shared" si="1"/>
        <v>0.28086950508542485</v>
      </c>
      <c r="K5" s="4">
        <f t="shared" si="2"/>
        <v>0.3006434934444428</v>
      </c>
      <c r="L5" s="4">
        <f t="shared" si="3"/>
        <v>0.28410717533959207</v>
      </c>
      <c r="M5" s="4">
        <f t="shared" si="4"/>
        <v>8.3169275010683705E-2</v>
      </c>
      <c r="N5" s="4">
        <f t="shared" si="5"/>
        <v>0.66791994379471864</v>
      </c>
      <c r="O5" s="4">
        <f t="shared" si="6"/>
        <v>2.9670480361776348E-2</v>
      </c>
      <c r="P5" t="s">
        <v>46</v>
      </c>
    </row>
    <row r="6" spans="1:16" x14ac:dyDescent="0.3">
      <c r="A6">
        <v>1994</v>
      </c>
      <c r="B6" s="6">
        <v>72608328</v>
      </c>
      <c r="C6" s="6">
        <v>70070007</v>
      </c>
      <c r="D6" s="6">
        <v>67087976</v>
      </c>
      <c r="E6" s="6">
        <v>20656158</v>
      </c>
      <c r="F6" s="6">
        <v>7060423</v>
      </c>
      <c r="G6" s="6">
        <v>262302</v>
      </c>
      <c r="H6" s="6">
        <v>4703136</v>
      </c>
      <c r="I6" s="11">
        <f t="shared" si="0"/>
        <v>1.9398508539943335E-2</v>
      </c>
      <c r="J6" s="14">
        <f t="shared" si="1"/>
        <v>0.27671040670810149</v>
      </c>
      <c r="K6" s="4">
        <f t="shared" si="2"/>
        <v>0.29947959633295884</v>
      </c>
      <c r="L6" s="4">
        <f t="shared" si="3"/>
        <v>0.28901006247393002</v>
      </c>
      <c r="M6" s="4">
        <f t="shared" si="4"/>
        <v>8.5198186351706368E-2</v>
      </c>
      <c r="N6" s="4">
        <f t="shared" si="5"/>
        <v>0.67368784515859526</v>
      </c>
      <c r="O6" s="4">
        <f t="shared" si="6"/>
        <v>3.0203239593359955E-2</v>
      </c>
      <c r="P6" t="s">
        <v>46</v>
      </c>
    </row>
    <row r="7" spans="1:16" x14ac:dyDescent="0.3">
      <c r="A7">
        <v>1995</v>
      </c>
      <c r="B7" s="6">
        <v>75018375</v>
      </c>
      <c r="C7" s="6">
        <v>71964245</v>
      </c>
      <c r="D7" s="6">
        <v>68477667</v>
      </c>
      <c r="E7" s="6">
        <v>21217404</v>
      </c>
      <c r="F7" s="6">
        <v>7268594</v>
      </c>
      <c r="G7" s="6">
        <v>260571</v>
      </c>
      <c r="H7" s="6">
        <v>3596099</v>
      </c>
      <c r="I7" s="11">
        <f t="shared" si="0"/>
        <v>1.4511929448137534E-2</v>
      </c>
      <c r="J7" s="14">
        <f t="shared" si="1"/>
        <v>0.27633918651212208</v>
      </c>
      <c r="K7" s="4">
        <f t="shared" si="2"/>
        <v>0.30273398071463675</v>
      </c>
      <c r="L7" s="4">
        <f t="shared" si="3"/>
        <v>0.29040914786508498</v>
      </c>
      <c r="M7" s="4">
        <f t="shared" si="4"/>
        <v>8.5622078235507729E-2</v>
      </c>
      <c r="N7" s="4">
        <f t="shared" si="5"/>
        <v>0.67876520681522945</v>
      </c>
      <c r="O7" s="4">
        <f t="shared" si="6"/>
        <v>3.0383677224510901E-2</v>
      </c>
      <c r="P7" t="s">
        <v>46</v>
      </c>
    </row>
    <row r="8" spans="1:16" x14ac:dyDescent="0.3">
      <c r="A8">
        <v>1996</v>
      </c>
      <c r="B8" s="6">
        <v>74080972</v>
      </c>
      <c r="C8" s="6">
        <v>74819471</v>
      </c>
      <c r="D8" s="6">
        <v>69785903</v>
      </c>
      <c r="E8" s="6">
        <v>22439271</v>
      </c>
      <c r="F8" s="6">
        <v>6677581</v>
      </c>
      <c r="G8" s="6">
        <v>273412</v>
      </c>
      <c r="H8" s="6">
        <v>3318801</v>
      </c>
      <c r="I8" s="11">
        <f t="shared" si="0"/>
        <v>1.3201517827228755E-2</v>
      </c>
      <c r="J8" s="14">
        <f t="shared" si="1"/>
        <v>0.27759418011015324</v>
      </c>
      <c r="K8" s="4">
        <f t="shared" si="2"/>
        <v>0.2946790942019224</v>
      </c>
      <c r="L8" s="4">
        <f t="shared" si="3"/>
        <v>0.2976166935680461</v>
      </c>
      <c r="M8" s="4">
        <f t="shared" si="4"/>
        <v>8.92588727484767E-2</v>
      </c>
      <c r="N8" s="4">
        <f t="shared" si="5"/>
        <v>0.68155466051844515</v>
      </c>
      <c r="O8" s="4">
        <f t="shared" si="6"/>
        <v>2.7649641544172817E-2</v>
      </c>
      <c r="P8" t="s">
        <v>46</v>
      </c>
    </row>
    <row r="9" spans="1:16" x14ac:dyDescent="0.3">
      <c r="A9">
        <v>1997</v>
      </c>
      <c r="B9" s="6">
        <v>74872036</v>
      </c>
      <c r="C9" s="6">
        <v>75882338</v>
      </c>
      <c r="D9" s="6">
        <v>69738046</v>
      </c>
      <c r="E9" s="6">
        <v>22507434</v>
      </c>
      <c r="F9" s="6">
        <v>7223965</v>
      </c>
      <c r="G9" s="6">
        <v>268100</v>
      </c>
      <c r="H9" s="6">
        <v>3214859</v>
      </c>
      <c r="I9" s="11">
        <f t="shared" si="0"/>
        <v>1.2671553457669153E-2</v>
      </c>
      <c r="J9" s="14">
        <f t="shared" si="1"/>
        <v>0.27487655848122433</v>
      </c>
      <c r="K9" s="4">
        <f t="shared" si="2"/>
        <v>0.29511247823264697</v>
      </c>
      <c r="L9" s="4">
        <f t="shared" si="3"/>
        <v>0.29909464224089433</v>
      </c>
      <c r="M9" s="4">
        <f t="shared" si="4"/>
        <v>8.8714358273865271E-2</v>
      </c>
      <c r="N9" s="4">
        <f t="shared" si="5"/>
        <v>0.68292147874740661</v>
      </c>
      <c r="O9" s="4">
        <f t="shared" si="6"/>
        <v>2.9530409313699928E-2</v>
      </c>
      <c r="P9" t="s">
        <v>46</v>
      </c>
    </row>
    <row r="10" spans="1:16" x14ac:dyDescent="0.3">
      <c r="A10">
        <v>1998</v>
      </c>
      <c r="B10" s="6">
        <v>74853265</v>
      </c>
      <c r="C10" s="6">
        <v>77657690</v>
      </c>
      <c r="D10" s="6">
        <v>69035379</v>
      </c>
      <c r="E10" s="6">
        <v>22526443</v>
      </c>
      <c r="F10" s="6">
        <v>7121279</v>
      </c>
      <c r="G10" s="6">
        <v>247975</v>
      </c>
      <c r="H10" s="6">
        <v>3092482</v>
      </c>
      <c r="I10" s="11">
        <f t="shared" si="0"/>
        <v>1.2149558673011859E-2</v>
      </c>
      <c r="J10" s="14">
        <f t="shared" si="1"/>
        <v>0.27122207588406683</v>
      </c>
      <c r="K10" s="4">
        <f t="shared" si="2"/>
        <v>0.29407903909675304</v>
      </c>
      <c r="L10" s="4">
        <f t="shared" si="3"/>
        <v>0.30509689662399536</v>
      </c>
      <c r="M10" s="4">
        <f t="shared" si="4"/>
        <v>8.8500544521441779E-2</v>
      </c>
      <c r="N10" s="4">
        <f t="shared" si="5"/>
        <v>0.68767648024219019</v>
      </c>
      <c r="O10" s="4">
        <f t="shared" si="6"/>
        <v>2.8951885200731109E-2</v>
      </c>
      <c r="P10" t="s">
        <v>46</v>
      </c>
    </row>
    <row r="11" spans="1:16" x14ac:dyDescent="0.3">
      <c r="A11">
        <v>1999</v>
      </c>
      <c r="B11" s="6">
        <v>74902578</v>
      </c>
      <c r="C11" s="6">
        <v>79887320</v>
      </c>
      <c r="D11" s="6">
        <v>70197016</v>
      </c>
      <c r="E11" s="6">
        <v>23490807</v>
      </c>
      <c r="F11" s="6">
        <v>7107171</v>
      </c>
      <c r="G11" s="6">
        <v>238565</v>
      </c>
      <c r="H11" s="6">
        <v>3240606</v>
      </c>
      <c r="I11" s="11">
        <f t="shared" si="0"/>
        <v>1.2508898233407232E-2</v>
      </c>
      <c r="J11" s="14">
        <f t="shared" si="1"/>
        <v>0.27096392755949328</v>
      </c>
      <c r="K11" s="4">
        <f t="shared" si="2"/>
        <v>0.28912762786400059</v>
      </c>
      <c r="L11" s="4">
        <f t="shared" si="3"/>
        <v>0.30836897667276991</v>
      </c>
      <c r="M11" s="4">
        <f t="shared" si="4"/>
        <v>9.0675668126149939E-2</v>
      </c>
      <c r="N11" s="4">
        <f t="shared" si="5"/>
        <v>0.68817227266292036</v>
      </c>
      <c r="O11" s="4">
        <f t="shared" si="6"/>
        <v>2.8354901544179054E-2</v>
      </c>
      <c r="P11" t="s">
        <v>46</v>
      </c>
    </row>
    <row r="12" spans="1:16" x14ac:dyDescent="0.3">
      <c r="A12">
        <v>2000</v>
      </c>
      <c r="B12" s="6">
        <v>78041488</v>
      </c>
      <c r="C12" s="6">
        <v>82290273</v>
      </c>
      <c r="D12" s="6">
        <v>70748578</v>
      </c>
      <c r="E12" s="6">
        <v>23408414</v>
      </c>
      <c r="F12" s="6">
        <v>6166509</v>
      </c>
      <c r="G12" s="6">
        <v>262635</v>
      </c>
      <c r="H12" s="6">
        <v>3176070</v>
      </c>
      <c r="I12" s="11">
        <f t="shared" si="0"/>
        <v>1.2026287597853381E-2</v>
      </c>
      <c r="J12" s="14">
        <f t="shared" si="1"/>
        <v>0.26789168568928345</v>
      </c>
      <c r="K12" s="4">
        <f t="shared" si="2"/>
        <v>0.29550651567894393</v>
      </c>
      <c r="L12" s="4">
        <f t="shared" si="3"/>
        <v>0.31159467190706402</v>
      </c>
      <c r="M12" s="4">
        <f t="shared" si="4"/>
        <v>8.8636685895971262E-2</v>
      </c>
      <c r="N12" s="4">
        <f t="shared" si="5"/>
        <v>0.69573787348197924</v>
      </c>
      <c r="O12" s="4">
        <f t="shared" si="6"/>
        <v>2.4344153230883916E-2</v>
      </c>
      <c r="P12" t="s">
        <v>46</v>
      </c>
    </row>
    <row r="13" spans="1:16" x14ac:dyDescent="0.3">
      <c r="A13">
        <v>2001</v>
      </c>
      <c r="B13" s="6">
        <v>77867151</v>
      </c>
      <c r="C13" s="6">
        <v>82744266</v>
      </c>
      <c r="D13" s="6">
        <v>71224256</v>
      </c>
      <c r="E13" s="6">
        <v>23814537</v>
      </c>
      <c r="F13" s="6">
        <v>6227874</v>
      </c>
      <c r="G13" s="6">
        <v>268575</v>
      </c>
      <c r="H13" s="6">
        <v>3225259</v>
      </c>
      <c r="I13" s="11">
        <f t="shared" si="0"/>
        <v>1.2153731352991163E-2</v>
      </c>
      <c r="J13" s="14">
        <f t="shared" si="1"/>
        <v>0.26839409586661689</v>
      </c>
      <c r="K13" s="4">
        <f t="shared" si="2"/>
        <v>0.29342649209778104</v>
      </c>
      <c r="L13" s="4">
        <f t="shared" si="3"/>
        <v>0.31180490619960777</v>
      </c>
      <c r="M13" s="4">
        <f t="shared" si="4"/>
        <v>8.9740230162559997E-2</v>
      </c>
      <c r="N13" s="4">
        <f t="shared" si="5"/>
        <v>0.69497162845994875</v>
      </c>
      <c r="O13" s="4">
        <f t="shared" si="6"/>
        <v>2.448054432044313E-2</v>
      </c>
      <c r="P13" t="s">
        <v>46</v>
      </c>
    </row>
    <row r="14" spans="1:16" x14ac:dyDescent="0.3">
      <c r="A14">
        <v>2002</v>
      </c>
      <c r="B14" s="6">
        <v>78060027</v>
      </c>
      <c r="C14" s="6">
        <v>84983738</v>
      </c>
      <c r="D14" s="6">
        <v>71548629</v>
      </c>
      <c r="E14" s="6">
        <v>24358635</v>
      </c>
      <c r="F14" s="6">
        <v>6420360</v>
      </c>
      <c r="G14" s="6">
        <v>265603</v>
      </c>
      <c r="H14" s="6">
        <v>3834495</v>
      </c>
      <c r="I14" s="11">
        <f t="shared" si="0"/>
        <v>1.4229687313819588E-2</v>
      </c>
      <c r="J14" s="14">
        <f t="shared" si="1"/>
        <v>0.26551465535943697</v>
      </c>
      <c r="K14" s="4">
        <f t="shared" si="2"/>
        <v>0.28967824339797404</v>
      </c>
      <c r="L14" s="4">
        <f t="shared" si="3"/>
        <v>0.31537191168578071</v>
      </c>
      <c r="M14" s="4">
        <f t="shared" si="4"/>
        <v>9.03941091177487E-2</v>
      </c>
      <c r="N14" s="4">
        <f t="shared" si="5"/>
        <v>0.69544426420150351</v>
      </c>
      <c r="O14" s="4">
        <f t="shared" si="6"/>
        <v>2.481139312524E-2</v>
      </c>
      <c r="P14" t="s">
        <v>46</v>
      </c>
    </row>
    <row r="15" spans="1:16" x14ac:dyDescent="0.3">
      <c r="A15">
        <v>2003</v>
      </c>
      <c r="B15" s="6">
        <v>81414744</v>
      </c>
      <c r="C15" s="6">
        <v>86828984</v>
      </c>
      <c r="D15" s="6">
        <v>73217352</v>
      </c>
      <c r="E15" s="6">
        <v>25434432</v>
      </c>
      <c r="F15" s="6">
        <v>6504992</v>
      </c>
      <c r="G15" s="6">
        <v>322061</v>
      </c>
      <c r="H15" s="6">
        <v>4058663</v>
      </c>
      <c r="I15" s="11">
        <f t="shared" si="0"/>
        <v>1.4611005319625127E-2</v>
      </c>
      <c r="J15" s="14">
        <f t="shared" si="1"/>
        <v>0.26357919333555541</v>
      </c>
      <c r="K15" s="4">
        <f t="shared" si="2"/>
        <v>0.29308943799470855</v>
      </c>
      <c r="L15" s="4">
        <f t="shared" si="3"/>
        <v>0.31258045990062366</v>
      </c>
      <c r="M15" s="4">
        <f t="shared" si="4"/>
        <v>9.1562817916551228E-2</v>
      </c>
      <c r="N15" s="4">
        <f t="shared" si="5"/>
        <v>0.6972327158118834</v>
      </c>
      <c r="O15" s="4">
        <f t="shared" si="6"/>
        <v>2.4577085532936013E-2</v>
      </c>
      <c r="P15" t="s">
        <v>46</v>
      </c>
    </row>
    <row r="16" spans="1:16" x14ac:dyDescent="0.3">
      <c r="A16">
        <v>2004</v>
      </c>
      <c r="B16" s="6">
        <v>87525661</v>
      </c>
      <c r="C16" s="6">
        <v>90846802</v>
      </c>
      <c r="D16" s="6">
        <v>73839106</v>
      </c>
      <c r="E16" s="6">
        <v>26340343</v>
      </c>
      <c r="F16" s="6">
        <v>6930801</v>
      </c>
      <c r="G16" s="6">
        <v>332200</v>
      </c>
      <c r="H16" s="6">
        <v>4147337</v>
      </c>
      <c r="I16" s="11">
        <f t="shared" si="0"/>
        <v>1.4303023928114781E-2</v>
      </c>
      <c r="J16" s="14">
        <f t="shared" si="1"/>
        <v>0.25465075540005638</v>
      </c>
      <c r="K16" s="4">
        <f t="shared" si="2"/>
        <v>0.30185191693056596</v>
      </c>
      <c r="L16" s="4">
        <f t="shared" si="3"/>
        <v>0.31330561823133873</v>
      </c>
      <c r="M16" s="4">
        <f t="shared" si="4"/>
        <v>9.0840593904896239E-2</v>
      </c>
      <c r="N16" s="4">
        <f t="shared" si="5"/>
        <v>0.70599812906680093</v>
      </c>
      <c r="O16" s="4">
        <f t="shared" si="6"/>
        <v>2.5048091605027897E-2</v>
      </c>
      <c r="P16" t="s">
        <v>46</v>
      </c>
    </row>
    <row r="17" spans="1:16" x14ac:dyDescent="0.3">
      <c r="A17">
        <v>2005</v>
      </c>
      <c r="B17" s="6">
        <v>93281337</v>
      </c>
      <c r="C17" s="6">
        <v>92967987</v>
      </c>
      <c r="D17" s="6">
        <v>74131441</v>
      </c>
      <c r="E17" s="6">
        <v>27459986</v>
      </c>
      <c r="F17" s="6">
        <v>7280965</v>
      </c>
      <c r="G17" s="6">
        <v>342209</v>
      </c>
      <c r="H17" s="6">
        <v>4129261</v>
      </c>
      <c r="I17" s="11">
        <f t="shared" si="0"/>
        <v>1.3782893580229825E-2</v>
      </c>
      <c r="J17" s="14">
        <f t="shared" si="1"/>
        <v>0.24744034398699574</v>
      </c>
      <c r="K17" s="4">
        <f t="shared" si="2"/>
        <v>0.31136000870193359</v>
      </c>
      <c r="L17" s="4">
        <f t="shared" si="3"/>
        <v>0.31031409038789021</v>
      </c>
      <c r="M17" s="4">
        <f t="shared" si="4"/>
        <v>9.1657578620629912E-2</v>
      </c>
      <c r="N17" s="4">
        <f t="shared" si="5"/>
        <v>0.71333167771045369</v>
      </c>
      <c r="O17" s="4">
        <f t="shared" si="6"/>
        <v>2.5445084722320755E-2</v>
      </c>
      <c r="P17" t="s">
        <v>46</v>
      </c>
    </row>
    <row r="18" spans="1:16" x14ac:dyDescent="0.3">
      <c r="A18">
        <v>2006</v>
      </c>
      <c r="B18" s="6">
        <v>97785283</v>
      </c>
      <c r="C18" s="6">
        <v>95270693</v>
      </c>
      <c r="D18" s="6">
        <v>74331257</v>
      </c>
      <c r="E18" s="6">
        <v>27910875</v>
      </c>
      <c r="F18" s="6">
        <v>7429422</v>
      </c>
      <c r="G18" s="6">
        <v>318146</v>
      </c>
      <c r="H18" s="6">
        <v>4382353</v>
      </c>
      <c r="I18" s="11">
        <f t="shared" si="0"/>
        <v>1.425489085772332E-2</v>
      </c>
      <c r="J18" s="14">
        <f t="shared" si="1"/>
        <v>0.24178425513699664</v>
      </c>
      <c r="K18" s="4">
        <f t="shared" si="2"/>
        <v>0.31807536651122986</v>
      </c>
      <c r="L18" s="4">
        <f t="shared" si="3"/>
        <v>0.30989592364071655</v>
      </c>
      <c r="M18" s="4">
        <f t="shared" si="4"/>
        <v>9.0788322362109666E-2</v>
      </c>
      <c r="N18" s="4">
        <f t="shared" si="5"/>
        <v>0.71875961251405607</v>
      </c>
      <c r="O18" s="4">
        <f t="shared" si="6"/>
        <v>2.520124149122395E-2</v>
      </c>
      <c r="P18" t="s">
        <v>46</v>
      </c>
    </row>
    <row r="19" spans="1:16" x14ac:dyDescent="0.3">
      <c r="A19">
        <v>2007</v>
      </c>
      <c r="B19" s="6">
        <v>101742175</v>
      </c>
      <c r="C19" s="6">
        <v>98558548</v>
      </c>
      <c r="D19" s="6">
        <v>74522071</v>
      </c>
      <c r="E19" s="6">
        <v>28935509</v>
      </c>
      <c r="F19" s="6">
        <v>7466834</v>
      </c>
      <c r="G19" s="6">
        <v>323345</v>
      </c>
      <c r="H19" s="6">
        <v>4447971</v>
      </c>
      <c r="I19" s="11">
        <f t="shared" si="0"/>
        <v>1.4076015593757313E-2</v>
      </c>
      <c r="J19" s="14">
        <f t="shared" si="1"/>
        <v>0.23583198574700456</v>
      </c>
      <c r="K19" s="4">
        <f t="shared" si="2"/>
        <v>0.32197252226752049</v>
      </c>
      <c r="L19" s="4">
        <f t="shared" si="3"/>
        <v>0.31189764019281568</v>
      </c>
      <c r="M19" s="4">
        <f t="shared" si="4"/>
        <v>9.1569094289802047E-2</v>
      </c>
      <c r="N19" s="4">
        <f t="shared" si="5"/>
        <v>0.72543925675013832</v>
      </c>
      <c r="O19" s="4">
        <f t="shared" si="6"/>
        <v>2.4652741909099846E-2</v>
      </c>
      <c r="P19" t="s">
        <v>46</v>
      </c>
    </row>
    <row r="20" spans="1:16" x14ac:dyDescent="0.3">
      <c r="A20">
        <v>2008</v>
      </c>
      <c r="B20" s="6">
        <v>102790413</v>
      </c>
      <c r="C20" s="6">
        <v>99127390</v>
      </c>
      <c r="D20" s="6">
        <v>75285350</v>
      </c>
      <c r="E20" s="6">
        <v>29990668</v>
      </c>
      <c r="F20" s="6">
        <v>7448896</v>
      </c>
      <c r="G20" s="6">
        <v>297764</v>
      </c>
      <c r="H20" s="6">
        <v>4672255</v>
      </c>
      <c r="I20" s="11">
        <f t="shared" si="0"/>
        <v>1.4618488169382587E-2</v>
      </c>
      <c r="J20" s="14">
        <f t="shared" si="1"/>
        <v>0.23555178351841399</v>
      </c>
      <c r="K20" s="4">
        <f t="shared" si="2"/>
        <v>0.32160925214194219</v>
      </c>
      <c r="L20" s="4">
        <f t="shared" si="3"/>
        <v>0.31014843538650477</v>
      </c>
      <c r="M20" s="4">
        <f t="shared" si="4"/>
        <v>9.3834395885901117E-2</v>
      </c>
      <c r="N20" s="4">
        <f t="shared" si="5"/>
        <v>0.72559208341434811</v>
      </c>
      <c r="O20" s="4">
        <f t="shared" si="6"/>
        <v>2.4237644897855383E-2</v>
      </c>
      <c r="P20" t="s">
        <v>46</v>
      </c>
    </row>
    <row r="21" spans="1:16" x14ac:dyDescent="0.3">
      <c r="A21">
        <v>2009</v>
      </c>
      <c r="B21" s="6">
        <v>100171205</v>
      </c>
      <c r="C21" s="6">
        <v>97396323</v>
      </c>
      <c r="D21" s="6">
        <v>75126127</v>
      </c>
      <c r="E21" s="6">
        <v>29783112</v>
      </c>
      <c r="F21" s="6">
        <v>7351755</v>
      </c>
      <c r="G21" s="6">
        <v>314414</v>
      </c>
      <c r="H21" s="6">
        <v>4291011</v>
      </c>
      <c r="I21" s="11">
        <f t="shared" si="0"/>
        <v>1.3646780320446762E-2</v>
      </c>
      <c r="J21" s="14">
        <f t="shared" si="1"/>
        <v>0.23892498795621453</v>
      </c>
      <c r="K21" s="4">
        <f t="shared" si="2"/>
        <v>0.31857630499419326</v>
      </c>
      <c r="L21" s="4">
        <f t="shared" si="3"/>
        <v>0.30975129730505846</v>
      </c>
      <c r="M21" s="4">
        <f t="shared" si="4"/>
        <v>9.4719772734971272E-2</v>
      </c>
      <c r="N21" s="4">
        <f t="shared" si="5"/>
        <v>0.72304737503422289</v>
      </c>
      <c r="O21" s="4">
        <f t="shared" si="6"/>
        <v>2.4380856689115694E-2</v>
      </c>
      <c r="P21" t="s">
        <v>46</v>
      </c>
    </row>
    <row r="22" spans="1:16" x14ac:dyDescent="0.3">
      <c r="A22">
        <v>2010</v>
      </c>
      <c r="B22" s="6">
        <v>109706955</v>
      </c>
      <c r="C22" s="6">
        <v>101769741</v>
      </c>
      <c r="D22" s="6">
        <v>77188119</v>
      </c>
      <c r="E22" s="6">
        <v>30773574</v>
      </c>
      <c r="F22" s="6">
        <v>7619768</v>
      </c>
      <c r="G22" s="6">
        <v>331356</v>
      </c>
      <c r="H22" s="6">
        <v>4395559</v>
      </c>
      <c r="I22" s="11">
        <f t="shared" si="0"/>
        <v>1.3248212083514113E-2</v>
      </c>
      <c r="J22" s="14">
        <f t="shared" si="1"/>
        <v>0.23264494250663575</v>
      </c>
      <c r="K22" s="4">
        <f t="shared" si="2"/>
        <v>0.33065669392141911</v>
      </c>
      <c r="L22" s="4">
        <f t="shared" si="3"/>
        <v>0.30673393587762138</v>
      </c>
      <c r="M22" s="4">
        <f t="shared" si="4"/>
        <v>9.2751532835690695E-2</v>
      </c>
      <c r="N22" s="4">
        <f t="shared" si="5"/>
        <v>0.7301421626347312</v>
      </c>
      <c r="O22" s="4">
        <f t="shared" si="6"/>
        <v>2.3964682775118949E-2</v>
      </c>
      <c r="P22" t="s">
        <v>46</v>
      </c>
    </row>
    <row r="23" spans="1:16" x14ac:dyDescent="0.3">
      <c r="A23">
        <v>2011</v>
      </c>
      <c r="B23" s="6">
        <v>113242546</v>
      </c>
      <c r="C23" s="6">
        <v>103532207</v>
      </c>
      <c r="D23" s="6">
        <v>76432274</v>
      </c>
      <c r="E23" s="6">
        <v>30664518</v>
      </c>
      <c r="F23" s="6">
        <v>7956853</v>
      </c>
      <c r="G23" s="6">
        <v>316465</v>
      </c>
      <c r="H23" s="6">
        <v>4431016</v>
      </c>
      <c r="I23" s="11">
        <f t="shared" si="0"/>
        <v>1.3164983816323927E-2</v>
      </c>
      <c r="J23" s="14">
        <f t="shared" si="1"/>
        <v>0.22708779436924534</v>
      </c>
      <c r="K23" s="4">
        <f t="shared" si="2"/>
        <v>0.3364547285338888</v>
      </c>
      <c r="L23" s="4">
        <f t="shared" si="3"/>
        <v>0.30760435747090481</v>
      </c>
      <c r="M23" s="4">
        <f t="shared" si="4"/>
        <v>9.1107295303238287E-2</v>
      </c>
      <c r="N23" s="4">
        <f t="shared" si="5"/>
        <v>0.73516638130803191</v>
      </c>
      <c r="O23" s="4">
        <f t="shared" si="6"/>
        <v>2.4580840506398857E-2</v>
      </c>
      <c r="P23" t="s">
        <v>46</v>
      </c>
    </row>
    <row r="24" spans="1:16" x14ac:dyDescent="0.3">
      <c r="A24">
        <v>2012</v>
      </c>
      <c r="B24" s="6">
        <v>115049813</v>
      </c>
      <c r="C24" s="6">
        <v>104359188</v>
      </c>
      <c r="D24" s="6">
        <v>75990855</v>
      </c>
      <c r="E24" s="6">
        <v>30956072</v>
      </c>
      <c r="F24" s="6">
        <v>7984139</v>
      </c>
      <c r="G24" s="6">
        <v>322427</v>
      </c>
      <c r="H24" s="6">
        <v>4779970</v>
      </c>
      <c r="I24" s="11">
        <f t="shared" si="0"/>
        <v>1.4081826839437508E-2</v>
      </c>
      <c r="J24" s="14">
        <f t="shared" si="1"/>
        <v>0.22386961874045316</v>
      </c>
      <c r="K24" s="4">
        <f t="shared" si="2"/>
        <v>0.33893759679991009</v>
      </c>
      <c r="L24" s="4">
        <f t="shared" si="3"/>
        <v>0.30744293678000167</v>
      </c>
      <c r="M24" s="4">
        <f t="shared" si="4"/>
        <v>9.1196816200344338E-2</v>
      </c>
      <c r="N24" s="4">
        <f t="shared" si="5"/>
        <v>0.73757734978025613</v>
      </c>
      <c r="O24" s="4">
        <f t="shared" si="6"/>
        <v>2.4471204639853191E-2</v>
      </c>
      <c r="P24" t="s">
        <v>46</v>
      </c>
    </row>
    <row r="25" spans="1:16" x14ac:dyDescent="0.3">
      <c r="A25">
        <v>2013</v>
      </c>
      <c r="B25" s="6">
        <v>115676520</v>
      </c>
      <c r="C25" s="6">
        <v>107285202</v>
      </c>
      <c r="D25" s="6">
        <v>78268220</v>
      </c>
      <c r="E25" s="6">
        <v>32019672</v>
      </c>
      <c r="F25" s="6">
        <v>7985682</v>
      </c>
      <c r="G25" s="6">
        <v>317854</v>
      </c>
      <c r="H25" s="6">
        <v>5124984</v>
      </c>
      <c r="I25" s="11">
        <f t="shared" si="0"/>
        <v>1.4783118683799078E-2</v>
      </c>
      <c r="J25" s="14">
        <f t="shared" si="1"/>
        <v>0.22576624345162766</v>
      </c>
      <c r="K25" s="4">
        <f t="shared" si="2"/>
        <v>0.33367123177142749</v>
      </c>
      <c r="L25" s="4">
        <f t="shared" si="3"/>
        <v>0.30946630744239556</v>
      </c>
      <c r="M25" s="4">
        <f t="shared" si="4"/>
        <v>9.2361383253551255E-2</v>
      </c>
      <c r="N25" s="4">
        <f t="shared" si="5"/>
        <v>0.73549892246737425</v>
      </c>
      <c r="O25" s="4">
        <f t="shared" si="6"/>
        <v>2.3951715397198949E-2</v>
      </c>
      <c r="P25" t="s">
        <v>46</v>
      </c>
    </row>
    <row r="26" spans="1:16" x14ac:dyDescent="0.3">
      <c r="A26">
        <v>2014</v>
      </c>
      <c r="B26" s="6">
        <v>117308432</v>
      </c>
      <c r="C26" s="6">
        <v>109178902</v>
      </c>
      <c r="D26" s="6">
        <v>77894909</v>
      </c>
      <c r="E26" s="6">
        <v>31963909</v>
      </c>
      <c r="F26" s="6">
        <v>8042393</v>
      </c>
      <c r="G26" s="6">
        <v>319555</v>
      </c>
      <c r="H26" s="6">
        <v>5350046</v>
      </c>
      <c r="I26" s="11">
        <f t="shared" si="0"/>
        <v>1.5283306676714216E-2</v>
      </c>
      <c r="J26" s="14">
        <f t="shared" si="1"/>
        <v>0.22251991530572751</v>
      </c>
      <c r="K26" s="4">
        <f t="shared" si="2"/>
        <v>0.33511127605640695</v>
      </c>
      <c r="L26" s="4">
        <f t="shared" si="3"/>
        <v>0.31188790561668572</v>
      </c>
      <c r="M26" s="4">
        <f t="shared" si="4"/>
        <v>9.1310284777660913E-2</v>
      </c>
      <c r="N26" s="4">
        <f t="shared" si="5"/>
        <v>0.73830946645075357</v>
      </c>
      <c r="O26" s="4">
        <f t="shared" si="6"/>
        <v>2.3887311566804677E-2</v>
      </c>
      <c r="P26" t="s">
        <v>46</v>
      </c>
    </row>
    <row r="27" spans="1:16" x14ac:dyDescent="0.3">
      <c r="A27">
        <v>2015</v>
      </c>
      <c r="B27" s="6">
        <v>115984770</v>
      </c>
      <c r="C27" s="6">
        <v>112673292</v>
      </c>
      <c r="D27" s="6">
        <v>78086959</v>
      </c>
      <c r="E27" s="6">
        <v>32519270</v>
      </c>
      <c r="F27" s="6">
        <v>8187613</v>
      </c>
      <c r="G27" s="6">
        <v>321206</v>
      </c>
      <c r="H27" s="6">
        <v>5549339</v>
      </c>
      <c r="I27" s="11">
        <f t="shared" si="0"/>
        <v>1.570616023891536E-2</v>
      </c>
      <c r="J27" s="14">
        <f t="shared" si="1"/>
        <v>0.22100763543615085</v>
      </c>
      <c r="K27" s="4">
        <f t="shared" si="2"/>
        <v>0.32826889524927977</v>
      </c>
      <c r="L27" s="4">
        <f t="shared" si="3"/>
        <v>0.31889649898809569</v>
      </c>
      <c r="M27" s="4">
        <f t="shared" si="4"/>
        <v>9.203850503141961E-2</v>
      </c>
      <c r="N27" s="4">
        <f t="shared" si="5"/>
        <v>0.73920389926879504</v>
      </c>
      <c r="O27" s="4">
        <f t="shared" si="6"/>
        <v>2.4082305056138679E-2</v>
      </c>
      <c r="P27" t="s">
        <v>46</v>
      </c>
    </row>
    <row r="28" spans="1:16" x14ac:dyDescent="0.3">
      <c r="A28">
        <v>2016</v>
      </c>
      <c r="B28" s="6">
        <v>115810914</v>
      </c>
      <c r="C28" s="6">
        <v>115168296</v>
      </c>
      <c r="D28" s="6">
        <v>78965793</v>
      </c>
      <c r="E28" s="6">
        <v>33007125</v>
      </c>
      <c r="F28" s="6">
        <v>8346895</v>
      </c>
      <c r="G28" s="6">
        <v>303515</v>
      </c>
      <c r="H28" s="6">
        <v>6003128</v>
      </c>
      <c r="I28" s="11">
        <f t="shared" si="0"/>
        <v>1.6787004711496935E-2</v>
      </c>
      <c r="J28" s="14">
        <f t="shared" si="1"/>
        <v>0.22081807003583662</v>
      </c>
      <c r="K28" s="4">
        <f t="shared" si="2"/>
        <v>0.32385089222831276</v>
      </c>
      <c r="L28" s="4">
        <f t="shared" si="3"/>
        <v>0.32205389049959854</v>
      </c>
      <c r="M28" s="4">
        <f t="shared" si="4"/>
        <v>9.2300341236763284E-2</v>
      </c>
      <c r="N28" s="4">
        <f t="shared" si="5"/>
        <v>0.73820512396467453</v>
      </c>
      <c r="O28" s="4">
        <f t="shared" si="6"/>
        <v>2.4189801287991898E-2</v>
      </c>
      <c r="P28" t="s">
        <v>46</v>
      </c>
    </row>
    <row r="29" spans="1:16" x14ac:dyDescent="0.3">
      <c r="A29">
        <v>2017</v>
      </c>
      <c r="B29" s="6">
        <v>116770083</v>
      </c>
      <c r="C29" s="6">
        <v>117957993</v>
      </c>
      <c r="D29" s="6">
        <v>80521356</v>
      </c>
      <c r="E29" s="6">
        <v>33525188</v>
      </c>
      <c r="F29" s="6">
        <v>8688923</v>
      </c>
      <c r="G29" s="6">
        <v>319100</v>
      </c>
      <c r="H29" s="6">
        <v>6186230</v>
      </c>
      <c r="I29" s="11">
        <f t="shared" si="0"/>
        <v>1.6996590804620813E-2</v>
      </c>
      <c r="J29" s="14">
        <f t="shared" si="1"/>
        <v>0.22123143481008609</v>
      </c>
      <c r="K29" s="4">
        <f t="shared" si="2"/>
        <v>0.3208243662089203</v>
      </c>
      <c r="L29" s="4">
        <f t="shared" si="3"/>
        <v>0.32408813431691452</v>
      </c>
      <c r="M29" s="4">
        <f t="shared" si="4"/>
        <v>9.2110041508961668E-2</v>
      </c>
      <c r="N29" s="4">
        <f t="shared" si="5"/>
        <v>0.73702254203479645</v>
      </c>
      <c r="O29" s="4">
        <f t="shared" si="6"/>
        <v>2.474943235049663E-2</v>
      </c>
      <c r="P29" t="s">
        <v>46</v>
      </c>
    </row>
    <row r="30" spans="1:16" x14ac:dyDescent="0.3">
      <c r="A30">
        <v>2018</v>
      </c>
      <c r="B30" s="6">
        <v>118521323</v>
      </c>
      <c r="C30" s="6">
        <v>121172343</v>
      </c>
      <c r="D30" s="6">
        <v>82862939</v>
      </c>
      <c r="E30" s="6">
        <v>34338428</v>
      </c>
      <c r="F30" s="6">
        <v>8869435</v>
      </c>
      <c r="G30" s="6">
        <v>331066</v>
      </c>
      <c r="H30" s="6">
        <v>5948916</v>
      </c>
      <c r="I30" s="11">
        <f t="shared" si="0"/>
        <v>1.5989799068364008E-2</v>
      </c>
      <c r="J30" s="14">
        <f t="shared" si="1"/>
        <v>0.22272322299123129</v>
      </c>
      <c r="K30" s="4">
        <f t="shared" si="2"/>
        <v>0.31856764158153683</v>
      </c>
      <c r="L30" s="4">
        <f t="shared" si="3"/>
        <v>0.32569318800482039</v>
      </c>
      <c r="M30" s="4">
        <f t="shared" si="4"/>
        <v>9.2296573702416465E-2</v>
      </c>
      <c r="N30" s="4">
        <f t="shared" si="5"/>
        <v>0.73655740328877373</v>
      </c>
      <c r="O30" s="4">
        <f t="shared" si="6"/>
        <v>2.4729574651631007E-2</v>
      </c>
      <c r="P30" t="s">
        <v>46</v>
      </c>
    </row>
    <row r="31" spans="1:16" x14ac:dyDescent="0.3">
      <c r="A31">
        <v>2019</v>
      </c>
      <c r="B31" s="6">
        <v>119027464</v>
      </c>
      <c r="C31" s="6">
        <v>122652910</v>
      </c>
      <c r="D31" s="6">
        <v>82611195</v>
      </c>
      <c r="E31" s="6">
        <v>34563892</v>
      </c>
      <c r="F31" s="6">
        <v>8842650</v>
      </c>
      <c r="G31" s="6">
        <v>335938</v>
      </c>
      <c r="H31" s="6">
        <v>5866368</v>
      </c>
      <c r="I31" s="11">
        <f t="shared" si="0"/>
        <v>1.5689653536813251E-2</v>
      </c>
      <c r="J31" s="14">
        <f t="shared" si="1"/>
        <v>0.22094437781811835</v>
      </c>
      <c r="K31" s="4">
        <f t="shared" si="2"/>
        <v>0.31834001404710921</v>
      </c>
      <c r="L31" s="4">
        <f t="shared" si="3"/>
        <v>0.32803630170864451</v>
      </c>
      <c r="M31" s="4">
        <f t="shared" si="4"/>
        <v>9.2441437421558165E-2</v>
      </c>
      <c r="N31" s="4">
        <f t="shared" si="5"/>
        <v>0.73881775317731191</v>
      </c>
      <c r="O31" s="4">
        <f t="shared" si="6"/>
        <v>2.4548215467756485E-2</v>
      </c>
      <c r="P31" t="s">
        <v>46</v>
      </c>
    </row>
    <row r="32" spans="1:16" x14ac:dyDescent="0.3">
      <c r="A32">
        <v>2020</v>
      </c>
      <c r="B32" s="6">
        <v>118450645</v>
      </c>
      <c r="C32" s="6">
        <v>106713212</v>
      </c>
      <c r="D32" s="6">
        <v>83387286</v>
      </c>
      <c r="E32" s="6">
        <v>32549166</v>
      </c>
      <c r="F32" s="6">
        <v>8811687</v>
      </c>
      <c r="G32" s="6">
        <v>334518</v>
      </c>
      <c r="H32" s="6">
        <v>5890816</v>
      </c>
      <c r="I32" s="11">
        <f t="shared" si="0"/>
        <v>1.6540855180780963E-2</v>
      </c>
      <c r="J32" s="14">
        <f t="shared" si="1"/>
        <v>0.23414362656113585</v>
      </c>
      <c r="K32" s="4">
        <f t="shared" si="2"/>
        <v>0.33259822832950425</v>
      </c>
      <c r="L32" s="4">
        <f t="shared" si="3"/>
        <v>0.29964062458715013</v>
      </c>
      <c r="M32" s="4">
        <f t="shared" si="4"/>
        <v>9.1394985187315245E-2</v>
      </c>
      <c r="N32" s="4">
        <f t="shared" si="5"/>
        <v>0.72363383810396964</v>
      </c>
      <c r="O32" s="4">
        <f t="shared" si="6"/>
        <v>2.5681680154113581E-2</v>
      </c>
      <c r="P32" t="s">
        <v>46</v>
      </c>
    </row>
    <row r="33" spans="1:16" x14ac:dyDescent="0.3">
      <c r="A33">
        <v>2021</v>
      </c>
      <c r="B33" s="6">
        <v>124601786</v>
      </c>
      <c r="C33" s="6">
        <v>115210842</v>
      </c>
      <c r="D33" s="6">
        <v>85171809</v>
      </c>
      <c r="E33" s="6">
        <v>34270130</v>
      </c>
      <c r="F33" s="6">
        <v>9059998</v>
      </c>
      <c r="G33" s="6">
        <v>323178</v>
      </c>
      <c r="H33" s="6">
        <v>5719690</v>
      </c>
      <c r="I33" s="11">
        <f t="shared" si="0"/>
        <v>1.5278686879979755E-2</v>
      </c>
      <c r="J33" s="14">
        <f t="shared" si="1"/>
        <v>0.22751467312257159</v>
      </c>
      <c r="K33" s="4">
        <f t="shared" si="2"/>
        <v>0.33284175767921775</v>
      </c>
      <c r="L33" s="4">
        <f t="shared" si="3"/>
        <v>0.30775625603779583</v>
      </c>
      <c r="M33" s="4">
        <f t="shared" si="4"/>
        <v>9.1543874861434907E-2</v>
      </c>
      <c r="N33" s="4">
        <f t="shared" si="5"/>
        <v>0.73214188857844842</v>
      </c>
      <c r="O33" s="4">
        <f t="shared" si="6"/>
        <v>2.506475141900014E-2</v>
      </c>
      <c r="P33" t="s">
        <v>46</v>
      </c>
    </row>
    <row r="34" spans="1:16" x14ac:dyDescent="0.3">
      <c r="A34">
        <v>2022</v>
      </c>
      <c r="B34" s="6">
        <v>126196753</v>
      </c>
      <c r="C34" s="6">
        <v>119728497</v>
      </c>
      <c r="D34" s="6">
        <v>84985047</v>
      </c>
      <c r="E34" s="6">
        <v>34388938</v>
      </c>
      <c r="F34" s="6">
        <v>9285927</v>
      </c>
      <c r="G34" s="6">
        <v>323591</v>
      </c>
      <c r="H34" s="6">
        <v>6651950</v>
      </c>
      <c r="I34" s="11">
        <f t="shared" si="0"/>
        <v>1.7433530098092936E-2</v>
      </c>
      <c r="J34" s="14">
        <f t="shared" si="1"/>
        <v>0.22273008287229201</v>
      </c>
      <c r="K34" s="4">
        <f t="shared" si="2"/>
        <v>0.33073833863860974</v>
      </c>
      <c r="L34" s="4">
        <f t="shared" si="3"/>
        <v>0.31378623652446724</v>
      </c>
      <c r="M34" s="4">
        <f t="shared" si="4"/>
        <v>9.0127043297747567E-2</v>
      </c>
      <c r="N34" s="4">
        <f t="shared" si="5"/>
        <v>0.73465161846082461</v>
      </c>
      <c r="O34" s="4">
        <f t="shared" si="6"/>
        <v>2.5184768568790483E-2</v>
      </c>
      <c r="P34" t="s">
        <v>46</v>
      </c>
    </row>
    <row r="35" spans="1:16" x14ac:dyDescent="0.3">
      <c r="A35">
        <v>2023</v>
      </c>
      <c r="B35" s="6">
        <v>128950177</v>
      </c>
      <c r="C35" s="6">
        <v>122904119</v>
      </c>
      <c r="D35" s="6">
        <v>84171150</v>
      </c>
      <c r="E35" s="6">
        <v>34520014</v>
      </c>
      <c r="F35" s="6">
        <v>9585918</v>
      </c>
      <c r="G35" s="6">
        <v>336174</v>
      </c>
      <c r="H35" s="6">
        <v>6691395</v>
      </c>
      <c r="I35" s="11">
        <f t="shared" si="0"/>
        <v>1.728332782142834E-2</v>
      </c>
      <c r="J35" s="14">
        <f t="shared" si="1"/>
        <v>0.21740721905620847</v>
      </c>
      <c r="K35" s="4">
        <f t="shared" si="2"/>
        <v>0.33306779553773297</v>
      </c>
      <c r="L35" s="4">
        <f t="shared" si="3"/>
        <v>0.31745132058125985</v>
      </c>
      <c r="M35" s="4">
        <f t="shared" si="4"/>
        <v>8.9162382188212735E-2</v>
      </c>
      <c r="N35" s="4">
        <f t="shared" si="5"/>
        <v>0.73968149830720553</v>
      </c>
      <c r="O35" s="4">
        <f t="shared" si="6"/>
        <v>2.5627954815157609E-2</v>
      </c>
      <c r="P3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final consumption (TFC) b</vt:lpstr>
      <vt:lpstr>Pivot</vt:lpstr>
      <vt:lpstr>With non-energy use</vt:lpstr>
      <vt:lpstr>WITHOUT non-energy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Funari</dc:creator>
  <cp:lastModifiedBy>Nicholas Funari</cp:lastModifiedBy>
  <dcterms:created xsi:type="dcterms:W3CDTF">2026-09-02T18:25:22Z</dcterms:created>
  <dcterms:modified xsi:type="dcterms:W3CDTF">2026-09-02T18:25:35Z</dcterms:modified>
</cp:coreProperties>
</file>