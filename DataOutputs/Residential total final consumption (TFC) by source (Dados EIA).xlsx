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Documents\MastersDegree\Processing\Análises EIA\"/>
    </mc:Choice>
  </mc:AlternateContent>
  <xr:revisionPtr revIDLastSave="0" documentId="8_{136187B0-6F4E-43F1-838E-332D28300886}" xr6:coauthVersionLast="47" xr6:coauthVersionMax="47" xr10:uidLastSave="{00000000-0000-0000-0000-000000000000}"/>
  <bookViews>
    <workbookView xWindow="-108" yWindow="-108" windowWidth="23256" windowHeight="12456" activeTab="2" xr2:uid="{948C7B5D-62A0-46E3-9795-AE42DC0A7B49}"/>
  </bookViews>
  <sheets>
    <sheet name="Residential total final consump" sheetId="1" r:id="rId1"/>
    <sheet name="Sheet2" sheetId="3" r:id="rId2"/>
    <sheet name="Sheet1" sheetId="2" r:id="rId3"/>
  </sheets>
  <calcPr calcId="0"/>
  <pivotCaches>
    <pivotCache cacheId="5" r:id="rId4"/>
  </pivotCaches>
</workbook>
</file>

<file path=xl/calcChain.xml><?xml version="1.0" encoding="utf-8"?>
<calcChain xmlns="http://schemas.openxmlformats.org/spreadsheetml/2006/main">
  <c r="S11" i="2" l="1"/>
  <c r="S8" i="2"/>
  <c r="T3" i="2"/>
  <c r="S3" i="2"/>
  <c r="S5" i="2"/>
  <c r="S4" i="2"/>
  <c r="T2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2" i="2"/>
  <c r="O3" i="2"/>
  <c r="O4" i="2"/>
  <c r="O5" i="2"/>
  <c r="O6" i="2"/>
  <c r="O7" i="2"/>
  <c r="P7" i="2"/>
  <c r="O8" i="2"/>
  <c r="O9" i="2"/>
  <c r="P9" i="2" s="1"/>
  <c r="O10" i="2"/>
  <c r="O11" i="2"/>
  <c r="O12" i="2"/>
  <c r="O13" i="2"/>
  <c r="P13" i="2"/>
  <c r="O14" i="2"/>
  <c r="O15" i="2"/>
  <c r="P15" i="2" s="1"/>
  <c r="O16" i="2"/>
  <c r="O17" i="2"/>
  <c r="O18" i="2"/>
  <c r="O19" i="2"/>
  <c r="P19" i="2"/>
  <c r="O20" i="2"/>
  <c r="O21" i="2"/>
  <c r="P21" i="2" s="1"/>
  <c r="O22" i="2"/>
  <c r="O23" i="2"/>
  <c r="O24" i="2"/>
  <c r="O25" i="2"/>
  <c r="O26" i="2"/>
  <c r="O27" i="2"/>
  <c r="P27" i="2" s="1"/>
  <c r="O28" i="2"/>
  <c r="O29" i="2"/>
  <c r="O30" i="2"/>
  <c r="O31" i="2"/>
  <c r="O32" i="2"/>
  <c r="O33" i="2"/>
  <c r="P33" i="2" s="1"/>
  <c r="O34" i="2"/>
  <c r="O35" i="2"/>
  <c r="P35" i="2"/>
  <c r="I3" i="2"/>
  <c r="J3" i="2"/>
  <c r="K3" i="2"/>
  <c r="L3" i="2"/>
  <c r="M3" i="2"/>
  <c r="N3" i="2"/>
  <c r="I4" i="2"/>
  <c r="P4" i="2" s="1"/>
  <c r="J4" i="2"/>
  <c r="K4" i="2"/>
  <c r="L4" i="2"/>
  <c r="M4" i="2"/>
  <c r="N4" i="2"/>
  <c r="I5" i="2"/>
  <c r="J5" i="2"/>
  <c r="K5" i="2"/>
  <c r="L5" i="2"/>
  <c r="M5" i="2"/>
  <c r="P5" i="2" s="1"/>
  <c r="N5" i="2"/>
  <c r="I6" i="2"/>
  <c r="P6" i="2" s="1"/>
  <c r="J6" i="2"/>
  <c r="K6" i="2"/>
  <c r="L6" i="2"/>
  <c r="M6" i="2"/>
  <c r="N6" i="2"/>
  <c r="I7" i="2"/>
  <c r="J7" i="2"/>
  <c r="K7" i="2"/>
  <c r="L7" i="2"/>
  <c r="M7" i="2"/>
  <c r="N7" i="2"/>
  <c r="I8" i="2"/>
  <c r="J8" i="2"/>
  <c r="K8" i="2"/>
  <c r="L8" i="2"/>
  <c r="M8" i="2"/>
  <c r="P8" i="2" s="1"/>
  <c r="N8" i="2"/>
  <c r="I9" i="2"/>
  <c r="J9" i="2"/>
  <c r="K9" i="2"/>
  <c r="L9" i="2"/>
  <c r="M9" i="2"/>
  <c r="N9" i="2"/>
  <c r="I10" i="2"/>
  <c r="P10" i="2" s="1"/>
  <c r="J10" i="2"/>
  <c r="K10" i="2"/>
  <c r="L10" i="2"/>
  <c r="M10" i="2"/>
  <c r="N10" i="2"/>
  <c r="I11" i="2"/>
  <c r="J11" i="2"/>
  <c r="K11" i="2"/>
  <c r="L11" i="2"/>
  <c r="P11" i="2" s="1"/>
  <c r="M11" i="2"/>
  <c r="N11" i="2"/>
  <c r="I12" i="2"/>
  <c r="P12" i="2" s="1"/>
  <c r="J12" i="2"/>
  <c r="K12" i="2"/>
  <c r="L12" i="2"/>
  <c r="M12" i="2"/>
  <c r="N12" i="2"/>
  <c r="I13" i="2"/>
  <c r="J13" i="2"/>
  <c r="K13" i="2"/>
  <c r="L13" i="2"/>
  <c r="M13" i="2"/>
  <c r="N13" i="2"/>
  <c r="I14" i="2"/>
  <c r="J14" i="2"/>
  <c r="K14" i="2"/>
  <c r="L14" i="2"/>
  <c r="P14" i="2" s="1"/>
  <c r="M14" i="2"/>
  <c r="N14" i="2"/>
  <c r="I15" i="2"/>
  <c r="J15" i="2"/>
  <c r="K15" i="2"/>
  <c r="L15" i="2"/>
  <c r="M15" i="2"/>
  <c r="N15" i="2"/>
  <c r="I16" i="2"/>
  <c r="P16" i="2" s="1"/>
  <c r="J16" i="2"/>
  <c r="K16" i="2"/>
  <c r="L16" i="2"/>
  <c r="M16" i="2"/>
  <c r="N16" i="2"/>
  <c r="I17" i="2"/>
  <c r="J17" i="2"/>
  <c r="K17" i="2"/>
  <c r="P17" i="2" s="1"/>
  <c r="L17" i="2"/>
  <c r="M17" i="2"/>
  <c r="N17" i="2"/>
  <c r="I18" i="2"/>
  <c r="P18" i="2" s="1"/>
  <c r="J18" i="2"/>
  <c r="K18" i="2"/>
  <c r="L18" i="2"/>
  <c r="M18" i="2"/>
  <c r="N18" i="2"/>
  <c r="I19" i="2"/>
  <c r="J19" i="2"/>
  <c r="K19" i="2"/>
  <c r="L19" i="2"/>
  <c r="M19" i="2"/>
  <c r="N19" i="2"/>
  <c r="I20" i="2"/>
  <c r="J20" i="2"/>
  <c r="K20" i="2"/>
  <c r="P20" i="2" s="1"/>
  <c r="L20" i="2"/>
  <c r="M20" i="2"/>
  <c r="N20" i="2"/>
  <c r="I21" i="2"/>
  <c r="J21" i="2"/>
  <c r="K21" i="2"/>
  <c r="L21" i="2"/>
  <c r="M21" i="2"/>
  <c r="N21" i="2"/>
  <c r="I22" i="2"/>
  <c r="J22" i="2"/>
  <c r="K22" i="2"/>
  <c r="L22" i="2"/>
  <c r="M22" i="2"/>
  <c r="N22" i="2"/>
  <c r="P22" i="2" s="1"/>
  <c r="I23" i="2"/>
  <c r="J23" i="2"/>
  <c r="P23" i="2" s="1"/>
  <c r="K23" i="2"/>
  <c r="L23" i="2"/>
  <c r="M23" i="2"/>
  <c r="N23" i="2"/>
  <c r="I24" i="2"/>
  <c r="P24" i="2" s="1"/>
  <c r="J24" i="2"/>
  <c r="K24" i="2"/>
  <c r="L24" i="2"/>
  <c r="M24" i="2"/>
  <c r="N24" i="2"/>
  <c r="I25" i="2"/>
  <c r="J25" i="2"/>
  <c r="K25" i="2"/>
  <c r="L25" i="2"/>
  <c r="M25" i="2"/>
  <c r="N25" i="2"/>
  <c r="P25" i="2" s="1"/>
  <c r="I26" i="2"/>
  <c r="J26" i="2"/>
  <c r="P26" i="2" s="1"/>
  <c r="K26" i="2"/>
  <c r="L26" i="2"/>
  <c r="M26" i="2"/>
  <c r="N26" i="2"/>
  <c r="I27" i="2"/>
  <c r="J27" i="2"/>
  <c r="K27" i="2"/>
  <c r="L27" i="2"/>
  <c r="M27" i="2"/>
  <c r="N27" i="2"/>
  <c r="I28" i="2"/>
  <c r="J28" i="2"/>
  <c r="K28" i="2"/>
  <c r="L28" i="2"/>
  <c r="M28" i="2"/>
  <c r="P28" i="2" s="1"/>
  <c r="N28" i="2"/>
  <c r="I29" i="2"/>
  <c r="P29" i="2" s="1"/>
  <c r="J29" i="2"/>
  <c r="K29" i="2"/>
  <c r="L29" i="2"/>
  <c r="M29" i="2"/>
  <c r="N29" i="2"/>
  <c r="I30" i="2"/>
  <c r="P30" i="2" s="1"/>
  <c r="J30" i="2"/>
  <c r="K30" i="2"/>
  <c r="L30" i="2"/>
  <c r="M30" i="2"/>
  <c r="N30" i="2"/>
  <c r="I31" i="2"/>
  <c r="J31" i="2"/>
  <c r="K31" i="2"/>
  <c r="L31" i="2"/>
  <c r="M31" i="2"/>
  <c r="P31" i="2" s="1"/>
  <c r="N31" i="2"/>
  <c r="I32" i="2"/>
  <c r="P32" i="2" s="1"/>
  <c r="J32" i="2"/>
  <c r="K32" i="2"/>
  <c r="L32" i="2"/>
  <c r="M32" i="2"/>
  <c r="N32" i="2"/>
  <c r="I33" i="2"/>
  <c r="J33" i="2"/>
  <c r="K33" i="2"/>
  <c r="L33" i="2"/>
  <c r="M33" i="2"/>
  <c r="N33" i="2"/>
  <c r="I34" i="2"/>
  <c r="J34" i="2"/>
  <c r="K34" i="2"/>
  <c r="L34" i="2"/>
  <c r="P34" i="2" s="1"/>
  <c r="M34" i="2"/>
  <c r="N34" i="2"/>
  <c r="I35" i="2"/>
  <c r="J35" i="2"/>
  <c r="K35" i="2"/>
  <c r="L35" i="2"/>
  <c r="M35" i="2"/>
  <c r="N35" i="2"/>
  <c r="J2" i="2"/>
  <c r="K2" i="2"/>
  <c r="L2" i="2"/>
  <c r="M2" i="2"/>
  <c r="N2" i="2"/>
  <c r="O2" i="2"/>
  <c r="I2" i="2"/>
  <c r="P2" i="2" s="1"/>
  <c r="P3" i="2" l="1"/>
</calcChain>
</file>

<file path=xl/sharedStrings.xml><?xml version="1.0" encoding="utf-8"?>
<sst xmlns="http://schemas.openxmlformats.org/spreadsheetml/2006/main" count="100" uniqueCount="67">
  <si>
    <t>Source: IEA World Energy Balances https://www.iea.org/data-and-statistics/data-product/world-energy-statistics-balances</t>
  </si>
  <si>
    <t>This data is released under a CC BY 4.0 licence: https://www.iea.org/terms/creative-commons-cc-licenses</t>
  </si>
  <si>
    <t>,Coal and coal products,Oil products,Natural gas,"Solar, wind and other renewables",Biofuels and waste,Electricity,Heat,Units</t>
  </si>
  <si>
    <t>1990,6348707,8217861,11632760,100023,23298207,9030664,2003814,TJ</t>
  </si>
  <si>
    <t>1991,6033342,8359862,12327400,104594,23574443,9503311,1861182,TJ</t>
  </si>
  <si>
    <t>1992,5467793,8579630,12423754,110647,23754201,9703118,1840656,TJ</t>
  </si>
  <si>
    <t>1993,5387673,8687455,13543365,116389,24561991,10238773,5387502,TJ</t>
  </si>
  <si>
    <t>1994,4737717,8585333,13352605,123349,24601956,10561833,5119921,TJ</t>
  </si>
  <si>
    <t>1995,4749082,8918216,13963019,128151,24812580,10949441,4951620,TJ</t>
  </si>
  <si>
    <t>1996,3790209,9327940,15395749,133461,25059190,11435120,4636911,TJ</t>
  </si>
  <si>
    <t>1997,4232074,9316423,14717979,140667,25122930,11612751,4582385,TJ</t>
  </si>
  <si>
    <t>1998,3361159,9134831,14402807,148647,25302598,12074553,4596728,TJ</t>
  </si>
  <si>
    <t>1999,3284168,9377329,14943354,227968,25396510,12421362,4526546,TJ</t>
  </si>
  <si>
    <t>2000,3216914,9476912,15490805,235731,24905642,12778593,4613766,TJ</t>
  </si>
  <si>
    <t>2001,3193942,9618468,15576390,246907,24614580,13096965,4855836,TJ</t>
  </si>
  <si>
    <t>2002,3084600,9340461,15916185,261282,24742312,13554930,4645153,TJ</t>
  </si>
  <si>
    <t>2003,3120173,9420960,16667862,282626,24933340,14013547,4777409,TJ</t>
  </si>
  <si>
    <t>2004,3307028,9562322,16627290,300896,24797074,14448290,4796202,TJ</t>
  </si>
  <si>
    <t>2005,3264351,9612593,16643566,331410,24943688,15095861,4239968,TJ</t>
  </si>
  <si>
    <t>2006,3369492,9314764,16495992,367664,24969705,15507203,4306435,TJ</t>
  </si>
  <si>
    <t>2007,3251336,8927255,16882184,411852,24663896,16160687,4224858,TJ</t>
  </si>
  <si>
    <t>2008,3231594,8976854,17381981,461079,24509350,16482804,4241685,TJ</t>
  </si>
  <si>
    <t>2009,3192783,8667005,17233421,550529,24371711,16890265,4201503,TJ</t>
  </si>
  <si>
    <t>2010,3205440,8675077,17997983,574078,24375799,17866752,4469756,TJ</t>
  </si>
  <si>
    <t>2011,3191835,8372347,17642255,685016,23963544,17971211,4606062,TJ</t>
  </si>
  <si>
    <t>2012,3231299,8284949,16920740,724176,23728049,18411098,4690541,TJ</t>
  </si>
  <si>
    <t>2013,3150317,8478293,18072916,953660,23942064,19093680,4577287,TJ</t>
  </si>
  <si>
    <t>2014,3146503,8349745,17745180,1013702,23743225,19413320,4483230,TJ</t>
  </si>
  <si>
    <t>2015,3169653,8651074,17728848,1090944,23272563,19772557,4401317,TJ</t>
  </si>
  <si>
    <t>2016,3138841,8782649,18248134,1137504,22930868,20446866,4280928,TJ</t>
  </si>
  <si>
    <t>2017,3253641,9112944,18739718,1147443,22987746,20869256,4410606,TJ</t>
  </si>
  <si>
    <t>2018,2819756,9176457,19994952,1210054,23180989,21641748,4838980,TJ</t>
  </si>
  <si>
    <t>2019,2427633,9119948,20176537,1214517,22865491,21977054,4830012,TJ</t>
  </si>
  <si>
    <t>2020,2333419,9198318,20221958,1276440,22591235,22852304,4913608,TJ</t>
  </si>
  <si>
    <t>2021,2212935,9036670,21044215,1339579,22612081,23592122,5334203,TJ</t>
  </si>
  <si>
    <t>2022,2060382,8956775,20495792,1410543,22469321,24320272,5271958,TJ</t>
  </si>
  <si>
    <t>2023,2006575,8834399,19622987,1486202,22228391,24565124,5427468,TJ</t>
  </si>
  <si>
    <t>Coal and coal products</t>
  </si>
  <si>
    <t>Oil products</t>
  </si>
  <si>
    <t>Natural gas</t>
  </si>
  <si>
    <t>Solar, wind and other renewables</t>
  </si>
  <si>
    <t>Biofuels and waste</t>
  </si>
  <si>
    <t>Electricity</t>
  </si>
  <si>
    <t>Heat</t>
  </si>
  <si>
    <t>Units</t>
  </si>
  <si>
    <t>TJ</t>
  </si>
  <si>
    <t>Year</t>
  </si>
  <si>
    <t>Sum of Coal and coal products</t>
  </si>
  <si>
    <t>Sum of Oil products</t>
  </si>
  <si>
    <t>Sum of Natural gas</t>
  </si>
  <si>
    <t>Sum of Biofuels and waste</t>
  </si>
  <si>
    <t>Sum of Solar, wind and other renewables</t>
  </si>
  <si>
    <t>Sum of Electricity</t>
  </si>
  <si>
    <t>Row Labels</t>
  </si>
  <si>
    <t>Grand Total</t>
  </si>
  <si>
    <t>Sum of Heat</t>
  </si>
  <si>
    <t>% Coal</t>
  </si>
  <si>
    <t>% Oil</t>
  </si>
  <si>
    <t>% NatGas</t>
  </si>
  <si>
    <t>%Renew</t>
  </si>
  <si>
    <t>%Biofuels/Waste</t>
  </si>
  <si>
    <t>%Electr</t>
  </si>
  <si>
    <t>%Heat</t>
  </si>
  <si>
    <t>%Total</t>
  </si>
  <si>
    <t>%Bio/Nat/Elec</t>
  </si>
  <si>
    <t>Peta</t>
  </si>
  <si>
    <t>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</si>
</sst>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000000000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Border="1"/>
    <xf numFmtId="10" fontId="16" fillId="0" borderId="10" xfId="2" applyNumberFormat="1" applyFont="1" applyBorder="1"/>
    <xf numFmtId="10" fontId="0" fillId="0" borderId="10" xfId="2" applyNumberFormat="1" applyFont="1" applyBorder="1"/>
    <xf numFmtId="10" fontId="0" fillId="0" borderId="0" xfId="2" applyNumberFormat="1" applyFont="1" applyBorder="1"/>
    <xf numFmtId="10" fontId="0" fillId="0" borderId="0" xfId="2" applyNumberFormat="1" applyFont="1"/>
    <xf numFmtId="10" fontId="16" fillId="0" borderId="0" xfId="2" applyNumberFormat="1" applyFont="1" applyBorder="1"/>
    <xf numFmtId="0" fontId="16" fillId="0" borderId="0" xfId="0" applyFont="1" applyBorder="1"/>
    <xf numFmtId="10" fontId="0" fillId="0" borderId="0" xfId="2" applyNumberFormat="1" applyFont="1" applyFill="1" applyBorder="1"/>
    <xf numFmtId="43" fontId="16" fillId="0" borderId="0" xfId="1" applyFont="1"/>
    <xf numFmtId="43" fontId="0" fillId="0" borderId="0" xfId="1" applyFont="1"/>
    <xf numFmtId="43" fontId="0" fillId="0" borderId="0" xfId="0" applyNumberFormat="1"/>
    <xf numFmtId="10" fontId="16" fillId="0" borderId="0" xfId="2" applyNumberFormat="1" applyFont="1" applyFill="1" applyBorder="1"/>
    <xf numFmtId="165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Funari" refreshedDate="46267.645755439815" createdVersion="8" refreshedVersion="8" minRefreshableVersion="3" recordCount="34" xr:uid="{5887CE86-AFAE-405E-A7E0-B3D8B773E10F}">
  <cacheSource type="worksheet">
    <worksheetSource ref="A1:R35" sheet="Sheet1"/>
  </cacheSource>
  <cacheFields count="9">
    <cacheField name="Year" numFmtId="0">
      <sharedItems containsSemiMixedTypes="0" containsString="0" containsNumber="1" containsInteger="1" minValue="1990" maxValue="2023" count="34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Coal and coal products" numFmtId="0">
      <sharedItems containsSemiMixedTypes="0" containsString="0" containsNumber="1" containsInteger="1" minValue="2006575" maxValue="6348707" count="34">
        <n v="6348707"/>
        <n v="6033342"/>
        <n v="5467793"/>
        <n v="5387673"/>
        <n v="4737717"/>
        <n v="4749082"/>
        <n v="3790209"/>
        <n v="4232074"/>
        <n v="3361159"/>
        <n v="3284168"/>
        <n v="3216914"/>
        <n v="3193942"/>
        <n v="3084600"/>
        <n v="3120173"/>
        <n v="3307028"/>
        <n v="3264351"/>
        <n v="3369492"/>
        <n v="3251336"/>
        <n v="3231594"/>
        <n v="3192783"/>
        <n v="3205440"/>
        <n v="3191835"/>
        <n v="3231299"/>
        <n v="3150317"/>
        <n v="3146503"/>
        <n v="3169653"/>
        <n v="3138841"/>
        <n v="3253641"/>
        <n v="2819756"/>
        <n v="2427633"/>
        <n v="2333419"/>
        <n v="2212935"/>
        <n v="2060382"/>
        <n v="2006575"/>
      </sharedItems>
    </cacheField>
    <cacheField name="Oil products" numFmtId="0">
      <sharedItems containsSemiMixedTypes="0" containsString="0" containsNumber="1" containsInteger="1" minValue="8217861" maxValue="9618468"/>
    </cacheField>
    <cacheField name="Natural gas" numFmtId="0">
      <sharedItems containsSemiMixedTypes="0" containsString="0" containsNumber="1" containsInteger="1" minValue="11632760" maxValue="21044215"/>
    </cacheField>
    <cacheField name="Solar, wind and other renewables" numFmtId="0">
      <sharedItems containsSemiMixedTypes="0" containsString="0" containsNumber="1" containsInteger="1" minValue="100023" maxValue="1486202"/>
    </cacheField>
    <cacheField name="Biofuels and waste" numFmtId="0">
      <sharedItems containsSemiMixedTypes="0" containsString="0" containsNumber="1" containsInteger="1" minValue="22228391" maxValue="25396510"/>
    </cacheField>
    <cacheField name="Electricity" numFmtId="0">
      <sharedItems containsSemiMixedTypes="0" containsString="0" containsNumber="1" containsInteger="1" minValue="9030664" maxValue="24565124"/>
    </cacheField>
    <cacheField name="Heat" numFmtId="0">
      <sharedItems containsSemiMixedTypes="0" containsString="0" containsNumber="1" containsInteger="1" minValue="1840656" maxValue="5427468"/>
    </cacheField>
    <cacheField name="Units" numFmtId="0">
      <sharedItems count="1">
        <s v="TJ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n v="8217861"/>
    <n v="11632760"/>
    <n v="100023"/>
    <n v="23298207"/>
    <n v="9030664"/>
    <n v="2003814"/>
    <x v="0"/>
  </r>
  <r>
    <x v="1"/>
    <x v="1"/>
    <n v="8359862"/>
    <n v="12327400"/>
    <n v="104594"/>
    <n v="23574443"/>
    <n v="9503311"/>
    <n v="1861182"/>
    <x v="0"/>
  </r>
  <r>
    <x v="2"/>
    <x v="2"/>
    <n v="8579630"/>
    <n v="12423754"/>
    <n v="110647"/>
    <n v="23754201"/>
    <n v="9703118"/>
    <n v="1840656"/>
    <x v="0"/>
  </r>
  <r>
    <x v="3"/>
    <x v="3"/>
    <n v="8687455"/>
    <n v="13543365"/>
    <n v="116389"/>
    <n v="24561991"/>
    <n v="10238773"/>
    <n v="5387502"/>
    <x v="0"/>
  </r>
  <r>
    <x v="4"/>
    <x v="4"/>
    <n v="8585333"/>
    <n v="13352605"/>
    <n v="123349"/>
    <n v="24601956"/>
    <n v="10561833"/>
    <n v="5119921"/>
    <x v="0"/>
  </r>
  <r>
    <x v="5"/>
    <x v="5"/>
    <n v="8918216"/>
    <n v="13963019"/>
    <n v="128151"/>
    <n v="24812580"/>
    <n v="10949441"/>
    <n v="4951620"/>
    <x v="0"/>
  </r>
  <r>
    <x v="6"/>
    <x v="6"/>
    <n v="9327940"/>
    <n v="15395749"/>
    <n v="133461"/>
    <n v="25059190"/>
    <n v="11435120"/>
    <n v="4636911"/>
    <x v="0"/>
  </r>
  <r>
    <x v="7"/>
    <x v="7"/>
    <n v="9316423"/>
    <n v="14717979"/>
    <n v="140667"/>
    <n v="25122930"/>
    <n v="11612751"/>
    <n v="4582385"/>
    <x v="0"/>
  </r>
  <r>
    <x v="8"/>
    <x v="8"/>
    <n v="9134831"/>
    <n v="14402807"/>
    <n v="148647"/>
    <n v="25302598"/>
    <n v="12074553"/>
    <n v="4596728"/>
    <x v="0"/>
  </r>
  <r>
    <x v="9"/>
    <x v="9"/>
    <n v="9377329"/>
    <n v="14943354"/>
    <n v="227968"/>
    <n v="25396510"/>
    <n v="12421362"/>
    <n v="4526546"/>
    <x v="0"/>
  </r>
  <r>
    <x v="10"/>
    <x v="10"/>
    <n v="9476912"/>
    <n v="15490805"/>
    <n v="235731"/>
    <n v="24905642"/>
    <n v="12778593"/>
    <n v="4613766"/>
    <x v="0"/>
  </r>
  <r>
    <x v="11"/>
    <x v="11"/>
    <n v="9618468"/>
    <n v="15576390"/>
    <n v="246907"/>
    <n v="24614580"/>
    <n v="13096965"/>
    <n v="4855836"/>
    <x v="0"/>
  </r>
  <r>
    <x v="12"/>
    <x v="12"/>
    <n v="9340461"/>
    <n v="15916185"/>
    <n v="261282"/>
    <n v="24742312"/>
    <n v="13554930"/>
    <n v="4645153"/>
    <x v="0"/>
  </r>
  <r>
    <x v="13"/>
    <x v="13"/>
    <n v="9420960"/>
    <n v="16667862"/>
    <n v="282626"/>
    <n v="24933340"/>
    <n v="14013547"/>
    <n v="4777409"/>
    <x v="0"/>
  </r>
  <r>
    <x v="14"/>
    <x v="14"/>
    <n v="9562322"/>
    <n v="16627290"/>
    <n v="300896"/>
    <n v="24797074"/>
    <n v="14448290"/>
    <n v="4796202"/>
    <x v="0"/>
  </r>
  <r>
    <x v="15"/>
    <x v="15"/>
    <n v="9612593"/>
    <n v="16643566"/>
    <n v="331410"/>
    <n v="24943688"/>
    <n v="15095861"/>
    <n v="4239968"/>
    <x v="0"/>
  </r>
  <r>
    <x v="16"/>
    <x v="16"/>
    <n v="9314764"/>
    <n v="16495992"/>
    <n v="367664"/>
    <n v="24969705"/>
    <n v="15507203"/>
    <n v="4306435"/>
    <x v="0"/>
  </r>
  <r>
    <x v="17"/>
    <x v="17"/>
    <n v="8927255"/>
    <n v="16882184"/>
    <n v="411852"/>
    <n v="24663896"/>
    <n v="16160687"/>
    <n v="4224858"/>
    <x v="0"/>
  </r>
  <r>
    <x v="18"/>
    <x v="18"/>
    <n v="8976854"/>
    <n v="17381981"/>
    <n v="461079"/>
    <n v="24509350"/>
    <n v="16482804"/>
    <n v="4241685"/>
    <x v="0"/>
  </r>
  <r>
    <x v="19"/>
    <x v="19"/>
    <n v="8667005"/>
    <n v="17233421"/>
    <n v="550529"/>
    <n v="24371711"/>
    <n v="16890265"/>
    <n v="4201503"/>
    <x v="0"/>
  </r>
  <r>
    <x v="20"/>
    <x v="20"/>
    <n v="8675077"/>
    <n v="17997983"/>
    <n v="574078"/>
    <n v="24375799"/>
    <n v="17866752"/>
    <n v="4469756"/>
    <x v="0"/>
  </r>
  <r>
    <x v="21"/>
    <x v="21"/>
    <n v="8372347"/>
    <n v="17642255"/>
    <n v="685016"/>
    <n v="23963544"/>
    <n v="17971211"/>
    <n v="4606062"/>
    <x v="0"/>
  </r>
  <r>
    <x v="22"/>
    <x v="22"/>
    <n v="8284949"/>
    <n v="16920740"/>
    <n v="724176"/>
    <n v="23728049"/>
    <n v="18411098"/>
    <n v="4690541"/>
    <x v="0"/>
  </r>
  <r>
    <x v="23"/>
    <x v="23"/>
    <n v="8478293"/>
    <n v="18072916"/>
    <n v="953660"/>
    <n v="23942064"/>
    <n v="19093680"/>
    <n v="4577287"/>
    <x v="0"/>
  </r>
  <r>
    <x v="24"/>
    <x v="24"/>
    <n v="8349745"/>
    <n v="17745180"/>
    <n v="1013702"/>
    <n v="23743225"/>
    <n v="19413320"/>
    <n v="4483230"/>
    <x v="0"/>
  </r>
  <r>
    <x v="25"/>
    <x v="25"/>
    <n v="8651074"/>
    <n v="17728848"/>
    <n v="1090944"/>
    <n v="23272563"/>
    <n v="19772557"/>
    <n v="4401317"/>
    <x v="0"/>
  </r>
  <r>
    <x v="26"/>
    <x v="26"/>
    <n v="8782649"/>
    <n v="18248134"/>
    <n v="1137504"/>
    <n v="22930868"/>
    <n v="20446866"/>
    <n v="4280928"/>
    <x v="0"/>
  </r>
  <r>
    <x v="27"/>
    <x v="27"/>
    <n v="9112944"/>
    <n v="18739718"/>
    <n v="1147443"/>
    <n v="22987746"/>
    <n v="20869256"/>
    <n v="4410606"/>
    <x v="0"/>
  </r>
  <r>
    <x v="28"/>
    <x v="28"/>
    <n v="9176457"/>
    <n v="19994952"/>
    <n v="1210054"/>
    <n v="23180989"/>
    <n v="21641748"/>
    <n v="4838980"/>
    <x v="0"/>
  </r>
  <r>
    <x v="29"/>
    <x v="29"/>
    <n v="9119948"/>
    <n v="20176537"/>
    <n v="1214517"/>
    <n v="22865491"/>
    <n v="21977054"/>
    <n v="4830012"/>
    <x v="0"/>
  </r>
  <r>
    <x v="30"/>
    <x v="30"/>
    <n v="9198318"/>
    <n v="20221958"/>
    <n v="1276440"/>
    <n v="22591235"/>
    <n v="22852304"/>
    <n v="4913608"/>
    <x v="0"/>
  </r>
  <r>
    <x v="31"/>
    <x v="31"/>
    <n v="9036670"/>
    <n v="21044215"/>
    <n v="1339579"/>
    <n v="22612081"/>
    <n v="23592122"/>
    <n v="5334203"/>
    <x v="0"/>
  </r>
  <r>
    <x v="32"/>
    <x v="32"/>
    <n v="8956775"/>
    <n v="20495792"/>
    <n v="1410543"/>
    <n v="22469321"/>
    <n v="24320272"/>
    <n v="5271958"/>
    <x v="0"/>
  </r>
  <r>
    <x v="33"/>
    <x v="33"/>
    <n v="8834399"/>
    <n v="19622987"/>
    <n v="1486202"/>
    <n v="22228391"/>
    <n v="24565124"/>
    <n v="542746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2D13F-563A-46D7-814C-CBCFE1BA5FC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38" firstHeaderRow="0" firstDataRow="1" firstDataCol="1"/>
  <pivotFields count="9"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showAll="0">
      <items count="35">
        <item x="33"/>
        <item x="32"/>
        <item x="31"/>
        <item x="30"/>
        <item x="29"/>
        <item x="28"/>
        <item x="12"/>
        <item x="13"/>
        <item x="26"/>
        <item x="24"/>
        <item x="23"/>
        <item x="25"/>
        <item x="21"/>
        <item x="19"/>
        <item x="11"/>
        <item x="20"/>
        <item x="10"/>
        <item x="22"/>
        <item x="18"/>
        <item x="17"/>
        <item x="27"/>
        <item x="15"/>
        <item x="9"/>
        <item x="14"/>
        <item x="8"/>
        <item x="16"/>
        <item x="6"/>
        <item x="7"/>
        <item x="4"/>
        <item x="5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2">
        <item x="0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Coal and coal products" fld="1" showDataAs="percentOfTotal" baseField="0" baseItem="0" numFmtId="10"/>
    <dataField name="Sum of Oil products" fld="2" showDataAs="percentOfTotal" baseField="0" baseItem="0" numFmtId="10"/>
    <dataField name="Sum of Natural gas" fld="3" showDataAs="percentOfRow" baseField="0" baseItem="0" numFmtId="10"/>
    <dataField name="Sum of Solar, wind and other renewables" fld="4" showDataAs="percentOfTotal" baseField="0" baseItem="0" numFmtId="10"/>
    <dataField name="Sum of Biofuels and waste" fld="5" showDataAs="percentOfTotal" baseField="0" baseItem="0" numFmtId="10"/>
    <dataField name="Sum of Electricity" fld="6" showDataAs="percentOfTotal" baseField="0" baseItem="0" numFmtId="10"/>
    <dataField name="Sum of Heat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7E46-EA0D-44F0-B13C-72A892BDC3C4}">
  <dimension ref="A1:A38"/>
  <sheetViews>
    <sheetView topLeftCell="A14" workbookViewId="0">
      <selection activeCell="A4" sqref="A4:A3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549B-63B4-4DB4-8E3C-DC095D6F0CF9}">
  <dimension ref="A3:H38"/>
  <sheetViews>
    <sheetView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26.33203125" bestFit="1" customWidth="1"/>
    <col min="3" max="3" width="17.44140625" bestFit="1" customWidth="1"/>
    <col min="4" max="4" width="16.44140625" bestFit="1" customWidth="1"/>
    <col min="5" max="5" width="34.88671875" bestFit="1" customWidth="1"/>
    <col min="6" max="6" width="22.6640625" bestFit="1" customWidth="1"/>
    <col min="7" max="7" width="15.6640625" bestFit="1" customWidth="1"/>
    <col min="8" max="8" width="11" bestFit="1" customWidth="1"/>
    <col min="9" max="35" width="9" bestFit="1" customWidth="1"/>
    <col min="36" max="36" width="10.5546875" bestFit="1" customWidth="1"/>
  </cols>
  <sheetData>
    <row r="3" spans="1:8" x14ac:dyDescent="0.3">
      <c r="A3" s="2" t="s">
        <v>53</v>
      </c>
      <c r="B3" t="s">
        <v>47</v>
      </c>
      <c r="C3" t="s">
        <v>48</v>
      </c>
      <c r="D3" t="s">
        <v>49</v>
      </c>
      <c r="E3" t="s">
        <v>51</v>
      </c>
      <c r="F3" t="s">
        <v>50</v>
      </c>
      <c r="G3" t="s">
        <v>52</v>
      </c>
      <c r="H3" t="s">
        <v>55</v>
      </c>
    </row>
    <row r="4" spans="1:8" x14ac:dyDescent="0.3">
      <c r="A4" s="3">
        <v>1990</v>
      </c>
      <c r="B4" s="4">
        <v>5.3362870836745402E-2</v>
      </c>
      <c r="C4" s="4">
        <v>2.6992293655213481E-2</v>
      </c>
      <c r="D4" s="4">
        <v>1</v>
      </c>
      <c r="E4" s="4">
        <v>4.9892431711719984E-3</v>
      </c>
      <c r="F4" s="4">
        <v>2.8487931198479113E-2</v>
      </c>
      <c r="G4" s="4">
        <v>1.6468692313379964E-2</v>
      </c>
      <c r="H4" s="4">
        <v>1.3275035589540093E-2</v>
      </c>
    </row>
    <row r="5" spans="1:8" x14ac:dyDescent="0.3">
      <c r="A5" s="3">
        <v>1991</v>
      </c>
      <c r="B5" s="4">
        <v>5.0712129235120029E-2</v>
      </c>
      <c r="C5" s="4">
        <v>2.745870853997899E-2</v>
      </c>
      <c r="D5" s="4">
        <v>1</v>
      </c>
      <c r="E5" s="4">
        <v>5.2172490351775486E-3</v>
      </c>
      <c r="F5" s="4">
        <v>2.8825699343578995E-2</v>
      </c>
      <c r="G5" s="4">
        <v>1.7330630927843097E-2</v>
      </c>
      <c r="H5" s="4">
        <v>1.2330115114781815E-2</v>
      </c>
    </row>
    <row r="6" spans="1:8" x14ac:dyDescent="0.3">
      <c r="A6" s="3">
        <v>1992</v>
      </c>
      <c r="B6" s="4">
        <v>4.5958512752448749E-2</v>
      </c>
      <c r="C6" s="4">
        <v>2.8180556036793425E-2</v>
      </c>
      <c r="D6" s="4">
        <v>1</v>
      </c>
      <c r="E6" s="4">
        <v>5.5191784805561526E-3</v>
      </c>
      <c r="F6" s="4">
        <v>2.9045498812970617E-2</v>
      </c>
      <c r="G6" s="4">
        <v>1.7695007235616206E-2</v>
      </c>
      <c r="H6" s="4">
        <v>1.2194132742909525E-2</v>
      </c>
    </row>
    <row r="7" spans="1:8" x14ac:dyDescent="0.3">
      <c r="A7" s="3">
        <v>1993</v>
      </c>
      <c r="B7" s="4">
        <v>4.528507905777044E-2</v>
      </c>
      <c r="C7" s="4">
        <v>2.8534716816998078E-2</v>
      </c>
      <c r="D7" s="4">
        <v>1</v>
      </c>
      <c r="E7" s="4">
        <v>5.8055949476574159E-3</v>
      </c>
      <c r="F7" s="4">
        <v>3.0033225720145038E-2</v>
      </c>
      <c r="G7" s="4">
        <v>1.8671849844434731E-2</v>
      </c>
      <c r="H7" s="4">
        <v>3.5691576557863369E-2</v>
      </c>
    </row>
    <row r="8" spans="1:8" x14ac:dyDescent="0.3">
      <c r="A8" s="3">
        <v>1994</v>
      </c>
      <c r="B8" s="4">
        <v>3.9821995302673899E-2</v>
      </c>
      <c r="C8" s="4">
        <v>2.8199288046341368E-2</v>
      </c>
      <c r="D8" s="4">
        <v>1</v>
      </c>
      <c r="E8" s="4">
        <v>6.1527664229316737E-3</v>
      </c>
      <c r="F8" s="4">
        <v>3.008209300724345E-2</v>
      </c>
      <c r="G8" s="4">
        <v>1.9260995419860916E-2</v>
      </c>
      <c r="H8" s="4">
        <v>3.3918883434607056E-2</v>
      </c>
    </row>
    <row r="9" spans="1:8" x14ac:dyDescent="0.3">
      <c r="A9" s="3">
        <v>1995</v>
      </c>
      <c r="B9" s="4">
        <v>3.9917521687347128E-2</v>
      </c>
      <c r="C9" s="4">
        <v>2.9292671797761408E-2</v>
      </c>
      <c r="D9" s="4">
        <v>1</v>
      </c>
      <c r="E9" s="4">
        <v>6.3922947884872752E-3</v>
      </c>
      <c r="F9" s="4">
        <v>3.0339633942507199E-2</v>
      </c>
      <c r="G9" s="4">
        <v>1.996785339732576E-2</v>
      </c>
      <c r="H9" s="4">
        <v>3.28039088088408E-2</v>
      </c>
    </row>
    <row r="10" spans="1:8" x14ac:dyDescent="0.3">
      <c r="A10" s="3">
        <v>1996</v>
      </c>
      <c r="B10" s="4">
        <v>3.1857893790226882E-2</v>
      </c>
      <c r="C10" s="4">
        <v>3.063844663206302E-2</v>
      </c>
      <c r="D10" s="4">
        <v>1</v>
      </c>
      <c r="E10" s="4">
        <v>6.6571626812611702E-3</v>
      </c>
      <c r="F10" s="4">
        <v>3.0641176834321018E-2</v>
      </c>
      <c r="G10" s="4">
        <v>2.0853557705898203E-2</v>
      </c>
      <c r="H10" s="4">
        <v>3.0718998145800928E-2</v>
      </c>
    </row>
    <row r="11" spans="1:8" x14ac:dyDescent="0.3">
      <c r="A11" s="3">
        <v>1997</v>
      </c>
      <c r="B11" s="4">
        <v>3.557190751338004E-2</v>
      </c>
      <c r="C11" s="4">
        <v>3.0600618023617698E-2</v>
      </c>
      <c r="D11" s="4">
        <v>1</v>
      </c>
      <c r="E11" s="4">
        <v>7.0166048724718457E-3</v>
      </c>
      <c r="F11" s="4">
        <v>3.0719115052253027E-2</v>
      </c>
      <c r="G11" s="4">
        <v>2.1177492943032263E-2</v>
      </c>
      <c r="H11" s="4">
        <v>3.0357769713144373E-2</v>
      </c>
    </row>
    <row r="12" spans="1:8" x14ac:dyDescent="0.3">
      <c r="A12" s="3">
        <v>1998</v>
      </c>
      <c r="B12" s="4">
        <v>2.8251594155906758E-2</v>
      </c>
      <c r="C12" s="4">
        <v>3.0004162986298676E-2</v>
      </c>
      <c r="D12" s="4">
        <v>1</v>
      </c>
      <c r="E12" s="4">
        <v>7.4146549260190554E-3</v>
      </c>
      <c r="F12" s="4">
        <v>3.093880447395695E-2</v>
      </c>
      <c r="G12" s="4">
        <v>2.2019654167024595E-2</v>
      </c>
      <c r="H12" s="4">
        <v>3.0452790426374627E-2</v>
      </c>
    </row>
    <row r="13" spans="1:8" x14ac:dyDescent="0.3">
      <c r="A13" s="3">
        <v>1999</v>
      </c>
      <c r="B13" s="4">
        <v>2.7604460686273986E-2</v>
      </c>
      <c r="C13" s="4">
        <v>3.0800669185028731E-2</v>
      </c>
      <c r="D13" s="4">
        <v>1</v>
      </c>
      <c r="E13" s="4">
        <v>1.1371262482086501E-2</v>
      </c>
      <c r="F13" s="4">
        <v>3.1053635567813726E-2</v>
      </c>
      <c r="G13" s="4">
        <v>2.2652109400937738E-2</v>
      </c>
      <c r="H13" s="4">
        <v>2.9987842807611059E-2</v>
      </c>
    </row>
    <row r="14" spans="1:8" x14ac:dyDescent="0.3">
      <c r="A14" s="3">
        <v>2000</v>
      </c>
      <c r="B14" s="4">
        <v>2.7039169751402609E-2</v>
      </c>
      <c r="C14" s="4">
        <v>3.1127758384890729E-2</v>
      </c>
      <c r="D14" s="4">
        <v>1</v>
      </c>
      <c r="E14" s="4">
        <v>1.1758488367510936E-2</v>
      </c>
      <c r="F14" s="4">
        <v>3.0453425697091269E-2</v>
      </c>
      <c r="G14" s="4">
        <v>2.3303570625029458E-2</v>
      </c>
      <c r="H14" s="4">
        <v>3.0565665202364107E-2</v>
      </c>
    </row>
    <row r="15" spans="1:8" x14ac:dyDescent="0.3">
      <c r="A15" s="3">
        <v>2001</v>
      </c>
      <c r="B15" s="4">
        <v>2.6846082896258446E-2</v>
      </c>
      <c r="C15" s="4">
        <v>3.1592711627669766E-2</v>
      </c>
      <c r="D15" s="4">
        <v>1</v>
      </c>
      <c r="E15" s="4">
        <v>1.2315957966313393E-2</v>
      </c>
      <c r="F15" s="4">
        <v>3.0097529029571243E-2</v>
      </c>
      <c r="G15" s="4">
        <v>2.3884166969793851E-2</v>
      </c>
      <c r="H15" s="4">
        <v>3.2169350906306675E-2</v>
      </c>
    </row>
    <row r="16" spans="1:8" x14ac:dyDescent="0.3">
      <c r="A16" s="3">
        <v>2002</v>
      </c>
      <c r="B16" s="4">
        <v>2.5927029138850612E-2</v>
      </c>
      <c r="C16" s="4">
        <v>3.0679572967596918E-2</v>
      </c>
      <c r="D16" s="4">
        <v>1</v>
      </c>
      <c r="E16" s="4">
        <v>1.3032996753248373E-2</v>
      </c>
      <c r="F16" s="4">
        <v>3.0253713598960816E-2</v>
      </c>
      <c r="G16" s="4">
        <v>2.4719330881915604E-2</v>
      </c>
      <c r="H16" s="4">
        <v>3.0773600440888688E-2</v>
      </c>
    </row>
    <row r="17" spans="1:8" x14ac:dyDescent="0.3">
      <c r="A17" s="3">
        <v>2003</v>
      </c>
      <c r="B17" s="4">
        <v>2.6226031345800083E-2</v>
      </c>
      <c r="C17" s="4">
        <v>3.0943979076066146E-2</v>
      </c>
      <c r="D17" s="4">
        <v>1</v>
      </c>
      <c r="E17" s="4">
        <v>1.409765594408943E-2</v>
      </c>
      <c r="F17" s="4">
        <v>3.0487293484356422E-2</v>
      </c>
      <c r="G17" s="4">
        <v>2.5555683808199361E-2</v>
      </c>
      <c r="H17" s="4">
        <v>3.1649781117802922E-2</v>
      </c>
    </row>
    <row r="18" spans="1:8" x14ac:dyDescent="0.3">
      <c r="A18" s="3">
        <v>2004</v>
      </c>
      <c r="B18" s="4">
        <v>2.7796606146338217E-2</v>
      </c>
      <c r="C18" s="4">
        <v>3.1408295108630857E-2</v>
      </c>
      <c r="D18" s="4">
        <v>1</v>
      </c>
      <c r="E18" s="4">
        <v>1.5008981066684357E-2</v>
      </c>
      <c r="F18" s="4">
        <v>3.0320673948668893E-2</v>
      </c>
      <c r="G18" s="4">
        <v>2.6348499120827065E-2</v>
      </c>
      <c r="H18" s="4">
        <v>3.1774282565459354E-2</v>
      </c>
    </row>
    <row r="19" spans="1:8" x14ac:dyDescent="0.3">
      <c r="A19" s="3">
        <v>2005</v>
      </c>
      <c r="B19" s="4">
        <v>2.7437892594318919E-2</v>
      </c>
      <c r="C19" s="4">
        <v>3.1573414668859635E-2</v>
      </c>
      <c r="D19" s="4">
        <v>1</v>
      </c>
      <c r="E19" s="4">
        <v>1.6531048652391068E-2</v>
      </c>
      <c r="F19" s="4">
        <v>3.049994652293754E-2</v>
      </c>
      <c r="G19" s="4">
        <v>2.7529436375282303E-2</v>
      </c>
      <c r="H19" s="4">
        <v>2.8089296760333608E-2</v>
      </c>
    </row>
    <row r="20" spans="1:8" x14ac:dyDescent="0.3">
      <c r="A20" s="3">
        <v>2006</v>
      </c>
      <c r="B20" s="4">
        <v>2.8321635630916175E-2</v>
      </c>
      <c r="C20" s="4">
        <v>3.0595168890908589E-2</v>
      </c>
      <c r="D20" s="4">
        <v>1</v>
      </c>
      <c r="E20" s="4">
        <v>1.8339432943280859E-2</v>
      </c>
      <c r="F20" s="4">
        <v>3.0531758863946906E-2</v>
      </c>
      <c r="G20" s="4">
        <v>2.8279576656613813E-2</v>
      </c>
      <c r="H20" s="4">
        <v>2.8529632934514423E-2</v>
      </c>
    </row>
    <row r="21" spans="1:8" x14ac:dyDescent="0.3">
      <c r="A21" s="3">
        <v>2007</v>
      </c>
      <c r="B21" s="4">
        <v>2.7328497442843155E-2</v>
      </c>
      <c r="C21" s="4">
        <v>2.9322361195324772E-2</v>
      </c>
      <c r="D21" s="4">
        <v>1</v>
      </c>
      <c r="E21" s="4">
        <v>2.0543572763599669E-2</v>
      </c>
      <c r="F21" s="4">
        <v>3.0157830271421493E-2</v>
      </c>
      <c r="G21" s="4">
        <v>2.9471297102387987E-2</v>
      </c>
      <c r="H21" s="4">
        <v>2.7989194760967423E-2</v>
      </c>
    </row>
    <row r="22" spans="1:8" x14ac:dyDescent="0.3">
      <c r="A22" s="3">
        <v>2008</v>
      </c>
      <c r="B22" s="4">
        <v>2.7162559749379114E-2</v>
      </c>
      <c r="C22" s="4">
        <v>2.9485273511924547E-2</v>
      </c>
      <c r="D22" s="4">
        <v>1</v>
      </c>
      <c r="E22" s="4">
        <v>2.2999062736778677E-2</v>
      </c>
      <c r="F22" s="4">
        <v>2.9968858827610384E-2</v>
      </c>
      <c r="G22" s="4">
        <v>3.0058722984018509E-2</v>
      </c>
      <c r="H22" s="4">
        <v>2.8100671686403213E-2</v>
      </c>
    </row>
    <row r="23" spans="1:8" x14ac:dyDescent="0.3">
      <c r="A23" s="3">
        <v>2009</v>
      </c>
      <c r="B23" s="4">
        <v>2.6836341138243815E-2</v>
      </c>
      <c r="C23" s="4">
        <v>2.8467546977395154E-2</v>
      </c>
      <c r="D23" s="4">
        <v>1</v>
      </c>
      <c r="E23" s="4">
        <v>2.746091452748017E-2</v>
      </c>
      <c r="F23" s="4">
        <v>2.9800560453309415E-2</v>
      </c>
      <c r="G23" s="4">
        <v>3.0801785713259915E-2</v>
      </c>
      <c r="H23" s="4">
        <v>2.7834470591861053E-2</v>
      </c>
    </row>
    <row r="24" spans="1:8" x14ac:dyDescent="0.3">
      <c r="A24" s="3">
        <v>2010</v>
      </c>
      <c r="B24" s="4">
        <v>2.694272718758909E-2</v>
      </c>
      <c r="C24" s="4">
        <v>2.8494060177653092E-2</v>
      </c>
      <c r="D24" s="4">
        <v>1</v>
      </c>
      <c r="E24" s="4">
        <v>2.8635561233117165E-2</v>
      </c>
      <c r="F24" s="4">
        <v>2.9805559063835082E-2</v>
      </c>
      <c r="G24" s="4">
        <v>3.2582547786903171E-2</v>
      </c>
      <c r="H24" s="4">
        <v>2.9611615637259926E-2</v>
      </c>
    </row>
    <row r="25" spans="1:8" x14ac:dyDescent="0.3">
      <c r="A25" s="3">
        <v>2011</v>
      </c>
      <c r="B25" s="4">
        <v>2.682837290131727E-2</v>
      </c>
      <c r="C25" s="4">
        <v>2.7499716630318478E-2</v>
      </c>
      <c r="D25" s="4">
        <v>1</v>
      </c>
      <c r="E25" s="4">
        <v>3.4169255072768835E-2</v>
      </c>
      <c r="F25" s="4">
        <v>2.9301473402812798E-2</v>
      </c>
      <c r="G25" s="4">
        <v>3.2773043538972271E-2</v>
      </c>
      <c r="H25" s="4">
        <v>3.0514627094944052E-2</v>
      </c>
    </row>
    <row r="26" spans="1:8" x14ac:dyDescent="0.3">
      <c r="A26" s="3">
        <v>2012</v>
      </c>
      <c r="B26" s="4">
        <v>2.7160080181981083E-2</v>
      </c>
      <c r="C26" s="4">
        <v>2.7212650144175874E-2</v>
      </c>
      <c r="D26" s="4">
        <v>1</v>
      </c>
      <c r="E26" s="4">
        <v>3.612259343077745E-2</v>
      </c>
      <c r="F26" s="4">
        <v>2.90135214004297E-2</v>
      </c>
      <c r="G26" s="4">
        <v>3.3575239662718623E-2</v>
      </c>
      <c r="H26" s="4">
        <v>3.1074290682267403E-2</v>
      </c>
    </row>
    <row r="27" spans="1:8" x14ac:dyDescent="0.3">
      <c r="A27" s="3">
        <v>2013</v>
      </c>
      <c r="B27" s="4">
        <v>2.6479401107312599E-2</v>
      </c>
      <c r="C27" s="4">
        <v>2.7847705668292623E-2</v>
      </c>
      <c r="D27" s="4">
        <v>1</v>
      </c>
      <c r="E27" s="4">
        <v>4.7569475446846102E-2</v>
      </c>
      <c r="F27" s="4">
        <v>2.9275208688015503E-2</v>
      </c>
      <c r="G27" s="4">
        <v>3.4820024424575727E-2</v>
      </c>
      <c r="H27" s="4">
        <v>3.0323996053795012E-2</v>
      </c>
    </row>
    <row r="28" spans="1:8" x14ac:dyDescent="0.3">
      <c r="A28" s="3">
        <v>2014</v>
      </c>
      <c r="B28" s="4">
        <v>2.6447343242715707E-2</v>
      </c>
      <c r="C28" s="4">
        <v>2.7425478355760761E-2</v>
      </c>
      <c r="D28" s="4">
        <v>1</v>
      </c>
      <c r="E28" s="4">
        <v>5.0564427992595667E-2</v>
      </c>
      <c r="F28" s="4">
        <v>2.9032077886079782E-2</v>
      </c>
      <c r="G28" s="4">
        <v>3.5402933146575437E-2</v>
      </c>
      <c r="H28" s="4">
        <v>2.9700879326171905E-2</v>
      </c>
    </row>
    <row r="29" spans="1:8" x14ac:dyDescent="0.3">
      <c r="A29" s="3">
        <v>2015</v>
      </c>
      <c r="B29" s="4">
        <v>2.6641926243611898E-2</v>
      </c>
      <c r="C29" s="4">
        <v>2.8415220194279549E-2</v>
      </c>
      <c r="D29" s="4">
        <v>1</v>
      </c>
      <c r="E29" s="4">
        <v>5.4417333034712662E-2</v>
      </c>
      <c r="F29" s="4">
        <v>2.8456574943997649E-2</v>
      </c>
      <c r="G29" s="4">
        <v>3.6058052595220817E-2</v>
      </c>
      <c r="H29" s="4">
        <v>2.9158215191553621E-2</v>
      </c>
    </row>
    <row r="30" spans="1:8" x14ac:dyDescent="0.3">
      <c r="A30" s="3">
        <v>2016</v>
      </c>
      <c r="B30" s="4">
        <v>2.6382941732872658E-2</v>
      </c>
      <c r="C30" s="4">
        <v>2.8847389956908134E-2</v>
      </c>
      <c r="D30" s="4">
        <v>1</v>
      </c>
      <c r="E30" s="4">
        <v>5.6739790489995626E-2</v>
      </c>
      <c r="F30" s="4">
        <v>2.8038766670130725E-2</v>
      </c>
      <c r="G30" s="4">
        <v>3.7287750372166445E-2</v>
      </c>
      <c r="H30" s="4">
        <v>2.8360652014737239E-2</v>
      </c>
    </row>
    <row r="31" spans="1:8" x14ac:dyDescent="0.3">
      <c r="A31" s="3">
        <v>2017</v>
      </c>
      <c r="B31" s="4">
        <v>2.734787168980064E-2</v>
      </c>
      <c r="C31" s="4">
        <v>2.9932273192685512E-2</v>
      </c>
      <c r="D31" s="4">
        <v>1</v>
      </c>
      <c r="E31" s="4">
        <v>5.7235557342402356E-2</v>
      </c>
      <c r="F31" s="4">
        <v>2.8108314363251789E-2</v>
      </c>
      <c r="G31" s="4">
        <v>3.8058038243163374E-2</v>
      </c>
      <c r="H31" s="4">
        <v>2.9219753740336713E-2</v>
      </c>
    </row>
    <row r="32" spans="1:8" x14ac:dyDescent="0.3">
      <c r="A32" s="3">
        <v>2018</v>
      </c>
      <c r="B32" s="4">
        <v>2.3700932366092477E-2</v>
      </c>
      <c r="C32" s="4">
        <v>3.0140887276925144E-2</v>
      </c>
      <c r="D32" s="4">
        <v>1</v>
      </c>
      <c r="E32" s="4">
        <v>6.0358654072057039E-2</v>
      </c>
      <c r="F32" s="4">
        <v>2.8344602644516857E-2</v>
      </c>
      <c r="G32" s="4">
        <v>3.9466786599048113E-2</v>
      </c>
      <c r="H32" s="4">
        <v>3.2057681859230802E-2</v>
      </c>
    </row>
    <row r="33" spans="1:8" x14ac:dyDescent="0.3">
      <c r="A33" s="3">
        <v>2019</v>
      </c>
      <c r="B33" s="4">
        <v>2.0405015732813114E-2</v>
      </c>
      <c r="C33" s="4">
        <v>2.9955278452175924E-2</v>
      </c>
      <c r="D33" s="4">
        <v>1</v>
      </c>
      <c r="E33" s="4">
        <v>6.0581272792480746E-2</v>
      </c>
      <c r="F33" s="4">
        <v>2.7958826807034692E-2</v>
      </c>
      <c r="G33" s="4">
        <v>4.0078264486480331E-2</v>
      </c>
      <c r="H33" s="4">
        <v>3.1998269898256881E-2</v>
      </c>
    </row>
    <row r="34" spans="1:8" x14ac:dyDescent="0.3">
      <c r="A34" s="3">
        <v>2020</v>
      </c>
      <c r="B34" s="4">
        <v>1.9613117553701504E-2</v>
      </c>
      <c r="C34" s="4">
        <v>3.0212691671231234E-2</v>
      </c>
      <c r="D34" s="4">
        <v>1</v>
      </c>
      <c r="E34" s="4">
        <v>6.367005142228073E-2</v>
      </c>
      <c r="F34" s="4">
        <v>2.7623479711064172E-2</v>
      </c>
      <c r="G34" s="4">
        <v>4.1674406580493109E-2</v>
      </c>
      <c r="H34" s="4">
        <v>3.255208371288399E-2</v>
      </c>
    </row>
    <row r="35" spans="1:8" x14ac:dyDescent="0.3">
      <c r="A35" s="3">
        <v>2021</v>
      </c>
      <c r="B35" s="4">
        <v>1.8600411796467087E-2</v>
      </c>
      <c r="C35" s="4">
        <v>2.9681744471615912E-2</v>
      </c>
      <c r="D35" s="4">
        <v>1</v>
      </c>
      <c r="E35" s="4">
        <v>6.6819485298335521E-2</v>
      </c>
      <c r="F35" s="4">
        <v>2.7648969201039236E-2</v>
      </c>
      <c r="G35" s="4">
        <v>4.3023569278817411E-2</v>
      </c>
      <c r="H35" s="4">
        <v>3.5338476858047467E-2</v>
      </c>
    </row>
    <row r="36" spans="1:8" x14ac:dyDescent="0.3">
      <c r="A36" s="3">
        <v>2022</v>
      </c>
      <c r="B36" s="4">
        <v>1.7318156049783862E-2</v>
      </c>
      <c r="C36" s="4">
        <v>2.9419322254741805E-2</v>
      </c>
      <c r="D36" s="4">
        <v>1</v>
      </c>
      <c r="E36" s="4">
        <v>7.0359237679278402E-2</v>
      </c>
      <c r="F36" s="4">
        <v>2.7474409113308243E-2</v>
      </c>
      <c r="G36" s="4">
        <v>4.4351453729837585E-2</v>
      </c>
      <c r="H36" s="4">
        <v>3.4926110944708745E-2</v>
      </c>
    </row>
    <row r="37" spans="1:8" x14ac:dyDescent="0.3">
      <c r="A37" s="3">
        <v>2023</v>
      </c>
      <c r="B37" s="4">
        <v>1.6865891361696549E-2</v>
      </c>
      <c r="C37" s="4">
        <v>2.9017367423873966E-2</v>
      </c>
      <c r="D37" s="4">
        <v>1</v>
      </c>
      <c r="E37" s="4">
        <v>7.4133181163154135E-2</v>
      </c>
      <c r="F37" s="4">
        <v>2.7179811453340263E-2</v>
      </c>
      <c r="G37" s="4">
        <v>4.4797975962346255E-2</v>
      </c>
      <c r="H37" s="4">
        <v>3.5956346677431132E-2</v>
      </c>
    </row>
    <row r="38" spans="1:8" x14ac:dyDescent="0.3">
      <c r="A38" s="3" t="s">
        <v>54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0E6F-9DB7-42CE-9EB6-5CEB59A9B84C}">
  <dimension ref="A1:T35"/>
  <sheetViews>
    <sheetView tabSelected="1" topLeftCell="G1" workbookViewId="0">
      <selection activeCell="R1" sqref="R1"/>
    </sheetView>
  </sheetViews>
  <sheetFormatPr defaultRowHeight="14.4" x14ac:dyDescent="0.3"/>
  <cols>
    <col min="2" max="2" width="20.21875" style="14" bestFit="1" customWidth="1"/>
    <col min="3" max="3" width="12.5546875" style="14" bestFit="1" customWidth="1"/>
    <col min="4" max="4" width="13.6640625" style="14" bestFit="1" customWidth="1"/>
    <col min="5" max="5" width="28.77734375" style="14" bestFit="1" customWidth="1"/>
    <col min="6" max="6" width="16.5546875" style="14" bestFit="1" customWidth="1"/>
    <col min="7" max="7" width="13.6640625" style="14" bestFit="1" customWidth="1"/>
    <col min="8" max="8" width="12.5546875" style="14" bestFit="1" customWidth="1"/>
    <col min="9" max="9" width="7.109375" style="7" bestFit="1" customWidth="1"/>
    <col min="10" max="10" width="7.109375" style="9" bestFit="1" customWidth="1"/>
    <col min="11" max="11" width="9.33203125" style="9" bestFit="1" customWidth="1"/>
    <col min="12" max="12" width="8" style="9" customWidth="1"/>
    <col min="13" max="13" width="15.44140625" style="9" bestFit="1" customWidth="1"/>
    <col min="14" max="14" width="7.6640625" style="9" bestFit="1" customWidth="1"/>
    <col min="15" max="15" width="7.109375" style="9" bestFit="1" customWidth="1"/>
    <col min="16" max="17" width="12.6640625" style="9" customWidth="1"/>
    <col min="19" max="19" width="21" bestFit="1" customWidth="1"/>
  </cols>
  <sheetData>
    <row r="1" spans="1:20" x14ac:dyDescent="0.3">
      <c r="A1" s="1" t="s">
        <v>46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42</v>
      </c>
      <c r="H1" s="13" t="s">
        <v>43</v>
      </c>
      <c r="I1" s="6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  <c r="R1" s="11" t="s">
        <v>44</v>
      </c>
      <c r="S1" s="16" t="s">
        <v>65</v>
      </c>
      <c r="T1" s="16" t="s">
        <v>66</v>
      </c>
    </row>
    <row r="2" spans="1:20" x14ac:dyDescent="0.3">
      <c r="A2">
        <v>1990</v>
      </c>
      <c r="B2" s="14">
        <v>6348707</v>
      </c>
      <c r="C2" s="14">
        <v>8217861</v>
      </c>
      <c r="D2" s="14">
        <v>11632760</v>
      </c>
      <c r="E2" s="14">
        <v>100023</v>
      </c>
      <c r="F2" s="14">
        <v>23298207</v>
      </c>
      <c r="G2" s="14">
        <v>9030664</v>
      </c>
      <c r="H2" s="14">
        <v>2003814</v>
      </c>
      <c r="I2" s="7">
        <f>B2/SUM($B2:$H2)</f>
        <v>0.10470878794174089</v>
      </c>
      <c r="J2" s="8">
        <f t="shared" ref="J2:O2" si="0">C2/SUM($B2:$H2)</f>
        <v>0.13553661631946518</v>
      </c>
      <c r="K2" s="8">
        <f t="shared" si="0"/>
        <v>0.19185831067919276</v>
      </c>
      <c r="L2" s="8">
        <f t="shared" si="0"/>
        <v>1.6496724602815581E-3</v>
      </c>
      <c r="M2" s="8">
        <f t="shared" si="0"/>
        <v>0.38425572580145584</v>
      </c>
      <c r="N2" s="8">
        <f t="shared" si="0"/>
        <v>0.14894212030089177</v>
      </c>
      <c r="O2" s="8">
        <f t="shared" si="0"/>
        <v>3.3048766496971999E-2</v>
      </c>
      <c r="P2" s="12">
        <f>SUM(I2:O2)</f>
        <v>0.99999999999999989</v>
      </c>
      <c r="Q2" s="12">
        <f>N2+M2+K2</f>
        <v>0.72505615678154045</v>
      </c>
      <c r="R2" s="5" t="s">
        <v>45</v>
      </c>
      <c r="S2" s="15">
        <f>F2/1000</f>
        <v>23298.206999999999</v>
      </c>
      <c r="T2" s="15">
        <f>S2/1000</f>
        <v>23.298206999999998</v>
      </c>
    </row>
    <row r="3" spans="1:20" x14ac:dyDescent="0.3">
      <c r="A3">
        <v>1991</v>
      </c>
      <c r="B3" s="14">
        <v>6033342</v>
      </c>
      <c r="C3" s="14">
        <v>8359862</v>
      </c>
      <c r="D3" s="14">
        <v>12327400</v>
      </c>
      <c r="E3" s="14">
        <v>104594</v>
      </c>
      <c r="F3" s="14">
        <v>23574443</v>
      </c>
      <c r="G3" s="14">
        <v>9503311</v>
      </c>
      <c r="H3" s="14">
        <v>1861182</v>
      </c>
      <c r="I3" s="7">
        <f t="shared" ref="I3:I35" si="1">B3/SUM($B3:$H3)</f>
        <v>9.7683584456960085E-2</v>
      </c>
      <c r="J3" s="8">
        <f t="shared" ref="J3:J35" si="2">C3/SUM($B3:$H3)</f>
        <v>0.13535139989172357</v>
      </c>
      <c r="K3" s="8">
        <f t="shared" ref="K3:K35" si="3">D3/SUM($B3:$H3)</f>
        <v>0.19958832418827405</v>
      </c>
      <c r="L3" s="8">
        <f t="shared" ref="L3:L35" si="4">E3/SUM($B3:$H3)</f>
        <v>1.6934423463299915E-3</v>
      </c>
      <c r="M3" s="8">
        <f t="shared" ref="M3:M35" si="5">F3/SUM($B3:$H3)</f>
        <v>0.38168499213475576</v>
      </c>
      <c r="N3" s="8">
        <f t="shared" ref="N3:N35" si="6">G3/SUM($B3:$H3)</f>
        <v>0.15386455511543318</v>
      </c>
      <c r="O3" s="8">
        <f t="shared" ref="O3:O35" si="7">H3/SUM($B3:$H3)</f>
        <v>3.0133701866523376E-2</v>
      </c>
      <c r="P3" s="12">
        <f t="shared" ref="P3:P35" si="8">SUM(I3:O3)</f>
        <v>1</v>
      </c>
      <c r="Q3" s="12">
        <f t="shared" ref="Q3:Q35" si="9">N3+M3+K3</f>
        <v>0.7351378714384631</v>
      </c>
      <c r="R3" s="5" t="s">
        <v>45</v>
      </c>
      <c r="S3" s="15">
        <f>G2/1000</f>
        <v>9030.6640000000007</v>
      </c>
      <c r="T3" s="15">
        <f>S3/1000</f>
        <v>9.0306639999999998</v>
      </c>
    </row>
    <row r="4" spans="1:20" x14ac:dyDescent="0.3">
      <c r="A4">
        <v>1992</v>
      </c>
      <c r="B4" s="14">
        <v>5467793</v>
      </c>
      <c r="C4" s="14">
        <v>8579630</v>
      </c>
      <c r="D4" s="14">
        <v>12423754</v>
      </c>
      <c r="E4" s="14">
        <v>110647</v>
      </c>
      <c r="F4" s="14">
        <v>23754201</v>
      </c>
      <c r="G4" s="14">
        <v>9703118</v>
      </c>
      <c r="H4" s="14">
        <v>1840656</v>
      </c>
      <c r="I4" s="7">
        <f t="shared" si="1"/>
        <v>8.8361518433503636E-2</v>
      </c>
      <c r="J4" s="8">
        <f t="shared" si="2"/>
        <v>0.13864993323588526</v>
      </c>
      <c r="K4" s="8">
        <f t="shared" si="3"/>
        <v>0.20077237161032149</v>
      </c>
      <c r="L4" s="8">
        <f t="shared" si="4"/>
        <v>1.7880956594574589E-3</v>
      </c>
      <c r="M4" s="8">
        <f t="shared" si="5"/>
        <v>0.38387650548121527</v>
      </c>
      <c r="N4" s="8">
        <f t="shared" si="6"/>
        <v>0.15680590688408669</v>
      </c>
      <c r="O4" s="8">
        <f t="shared" si="7"/>
        <v>2.9745668695530185E-2</v>
      </c>
      <c r="P4" s="12">
        <f t="shared" si="8"/>
        <v>1</v>
      </c>
      <c r="Q4" s="12">
        <f t="shared" si="9"/>
        <v>0.74145478397562348</v>
      </c>
      <c r="R4" s="5" t="s">
        <v>45</v>
      </c>
      <c r="S4" s="17">
        <f>N35/N2-1</f>
        <v>0.95946805886328734</v>
      </c>
    </row>
    <row r="5" spans="1:20" x14ac:dyDescent="0.3">
      <c r="A5">
        <v>1993</v>
      </c>
      <c r="B5" s="14">
        <v>5387673</v>
      </c>
      <c r="C5" s="14">
        <v>8687455</v>
      </c>
      <c r="D5" s="14">
        <v>13543365</v>
      </c>
      <c r="E5" s="14">
        <v>116389</v>
      </c>
      <c r="F5" s="14">
        <v>24561991</v>
      </c>
      <c r="G5" s="14">
        <v>10238773</v>
      </c>
      <c r="H5" s="14">
        <v>5387502</v>
      </c>
      <c r="I5" s="7">
        <f t="shared" si="1"/>
        <v>7.9320131039862879E-2</v>
      </c>
      <c r="J5" s="8">
        <f t="shared" si="2"/>
        <v>0.12790124215090856</v>
      </c>
      <c r="K5" s="8">
        <f t="shared" si="3"/>
        <v>0.19939248104342866</v>
      </c>
      <c r="L5" s="8">
        <f t="shared" si="4"/>
        <v>1.7135395432496738E-3</v>
      </c>
      <c r="M5" s="8">
        <f t="shared" si="5"/>
        <v>0.36161443812939881</v>
      </c>
      <c r="N5" s="8">
        <f t="shared" si="6"/>
        <v>0.15074055460444796</v>
      </c>
      <c r="O5" s="8">
        <f t="shared" si="7"/>
        <v>7.9317613488703434E-2</v>
      </c>
      <c r="P5" s="12">
        <f t="shared" si="8"/>
        <v>1</v>
      </c>
      <c r="Q5" s="12">
        <f t="shared" si="9"/>
        <v>0.71174747377727543</v>
      </c>
      <c r="R5" s="5" t="s">
        <v>45</v>
      </c>
      <c r="S5">
        <f>G35/G2-1</f>
        <v>1.7201902318589197</v>
      </c>
    </row>
    <row r="6" spans="1:20" x14ac:dyDescent="0.3">
      <c r="A6">
        <v>1994</v>
      </c>
      <c r="B6" s="14">
        <v>4737717</v>
      </c>
      <c r="C6" s="14">
        <v>8585333</v>
      </c>
      <c r="D6" s="14">
        <v>13352605</v>
      </c>
      <c r="E6" s="14">
        <v>123349</v>
      </c>
      <c r="F6" s="14">
        <v>24601956</v>
      </c>
      <c r="G6" s="14">
        <v>10561833</v>
      </c>
      <c r="H6" s="14">
        <v>5119921</v>
      </c>
      <c r="I6" s="7">
        <f t="shared" si="1"/>
        <v>7.0625004826131516E-2</v>
      </c>
      <c r="J6" s="8">
        <f t="shared" si="2"/>
        <v>0.12798130081618345</v>
      </c>
      <c r="K6" s="8">
        <f t="shared" si="3"/>
        <v>0.19904688113841071</v>
      </c>
      <c r="L6" s="8">
        <f t="shared" si="4"/>
        <v>1.8387598331218382E-3</v>
      </c>
      <c r="M6" s="8">
        <f t="shared" si="5"/>
        <v>0.36674061815686226</v>
      </c>
      <c r="N6" s="8">
        <f t="shared" si="6"/>
        <v>0.15744492687043043</v>
      </c>
      <c r="O6" s="8">
        <f t="shared" si="7"/>
        <v>7.6322508358859786E-2</v>
      </c>
      <c r="P6" s="12">
        <f t="shared" si="8"/>
        <v>1</v>
      </c>
      <c r="Q6" s="12">
        <f t="shared" si="9"/>
        <v>0.72323242616570349</v>
      </c>
      <c r="R6" s="5" t="s">
        <v>45</v>
      </c>
    </row>
    <row r="7" spans="1:20" x14ac:dyDescent="0.3">
      <c r="A7">
        <v>1995</v>
      </c>
      <c r="B7" s="14">
        <v>4749082</v>
      </c>
      <c r="C7" s="14">
        <v>8918216</v>
      </c>
      <c r="D7" s="14">
        <v>13963019</v>
      </c>
      <c r="E7" s="14">
        <v>128151</v>
      </c>
      <c r="F7" s="14">
        <v>24812580</v>
      </c>
      <c r="G7" s="14">
        <v>10949441</v>
      </c>
      <c r="H7" s="14">
        <v>4951620</v>
      </c>
      <c r="I7" s="7">
        <f t="shared" si="1"/>
        <v>6.9357904544754129E-2</v>
      </c>
      <c r="J7" s="8">
        <f t="shared" si="2"/>
        <v>0.13024596628095683</v>
      </c>
      <c r="K7" s="8">
        <f t="shared" si="3"/>
        <v>0.20392272421461416</v>
      </c>
      <c r="L7" s="8">
        <f t="shared" si="4"/>
        <v>1.8715795653380561E-3</v>
      </c>
      <c r="M7" s="8">
        <f t="shared" si="5"/>
        <v>0.36237499271418672</v>
      </c>
      <c r="N7" s="8">
        <f t="shared" si="6"/>
        <v>0.15991096462356666</v>
      </c>
      <c r="O7" s="8">
        <f t="shared" si="7"/>
        <v>7.2315868056583452E-2</v>
      </c>
      <c r="P7" s="12">
        <f t="shared" si="8"/>
        <v>1</v>
      </c>
      <c r="Q7" s="12">
        <f t="shared" si="9"/>
        <v>0.72620868155236762</v>
      </c>
      <c r="R7" s="5" t="s">
        <v>45</v>
      </c>
    </row>
    <row r="8" spans="1:20" x14ac:dyDescent="0.3">
      <c r="A8">
        <v>1996</v>
      </c>
      <c r="B8" s="14">
        <v>3790209</v>
      </c>
      <c r="C8" s="14">
        <v>9327940</v>
      </c>
      <c r="D8" s="14">
        <v>15395749</v>
      </c>
      <c r="E8" s="14">
        <v>133461</v>
      </c>
      <c r="F8" s="14">
        <v>25059190</v>
      </c>
      <c r="G8" s="14">
        <v>11435120</v>
      </c>
      <c r="H8" s="14">
        <v>4636911</v>
      </c>
      <c r="I8" s="7">
        <f t="shared" si="1"/>
        <v>5.4317657367060207E-2</v>
      </c>
      <c r="J8" s="8">
        <f t="shared" si="2"/>
        <v>0.13367913190552172</v>
      </c>
      <c r="K8" s="8">
        <f t="shared" si="3"/>
        <v>0.2206371783432681</v>
      </c>
      <c r="L8" s="8">
        <f t="shared" si="4"/>
        <v>1.9126356540932763E-3</v>
      </c>
      <c r="M8" s="8">
        <f t="shared" si="5"/>
        <v>0.35912439032149979</v>
      </c>
      <c r="N8" s="8">
        <f t="shared" si="6"/>
        <v>0.1638772242140783</v>
      </c>
      <c r="O8" s="8">
        <f t="shared" si="7"/>
        <v>6.6451782194478587E-2</v>
      </c>
      <c r="P8" s="12">
        <f t="shared" si="8"/>
        <v>1</v>
      </c>
      <c r="Q8" s="12">
        <f t="shared" si="9"/>
        <v>0.74363879287884616</v>
      </c>
      <c r="R8" s="5" t="s">
        <v>45</v>
      </c>
      <c r="S8" s="17">
        <f>K35/K2-1</f>
        <v>0.21512584957203718</v>
      </c>
    </row>
    <row r="9" spans="1:20" x14ac:dyDescent="0.3">
      <c r="A9">
        <v>1997</v>
      </c>
      <c r="B9" s="14">
        <v>4232074</v>
      </c>
      <c r="C9" s="14">
        <v>9316423</v>
      </c>
      <c r="D9" s="14">
        <v>14717979</v>
      </c>
      <c r="E9" s="14">
        <v>140667</v>
      </c>
      <c r="F9" s="14">
        <v>25122930</v>
      </c>
      <c r="G9" s="14">
        <v>11612751</v>
      </c>
      <c r="H9" s="14">
        <v>4582385</v>
      </c>
      <c r="I9" s="7">
        <f t="shared" si="1"/>
        <v>6.0696469192369144E-2</v>
      </c>
      <c r="J9" s="8">
        <f t="shared" si="2"/>
        <v>0.13361627930007353</v>
      </c>
      <c r="K9" s="8">
        <f t="shared" si="3"/>
        <v>0.21108547699010841</v>
      </c>
      <c r="L9" s="8">
        <f t="shared" si="4"/>
        <v>2.0174482374086537E-3</v>
      </c>
      <c r="M9" s="8">
        <f t="shared" si="5"/>
        <v>0.36031344129782389</v>
      </c>
      <c r="N9" s="8">
        <f t="shared" si="6"/>
        <v>0.16655025013980237</v>
      </c>
      <c r="O9" s="8">
        <f t="shared" si="7"/>
        <v>6.5720634842414027E-2</v>
      </c>
      <c r="P9" s="12">
        <f t="shared" si="8"/>
        <v>1</v>
      </c>
      <c r="Q9" s="12">
        <f t="shared" si="9"/>
        <v>0.73794916842773461</v>
      </c>
      <c r="R9" s="5" t="s">
        <v>45</v>
      </c>
    </row>
    <row r="10" spans="1:20" x14ac:dyDescent="0.3">
      <c r="A10">
        <v>1998</v>
      </c>
      <c r="B10" s="14">
        <v>3361159</v>
      </c>
      <c r="C10" s="14">
        <v>9134831</v>
      </c>
      <c r="D10" s="14">
        <v>14402807</v>
      </c>
      <c r="E10" s="14">
        <v>148647</v>
      </c>
      <c r="F10" s="14">
        <v>25302598</v>
      </c>
      <c r="G10" s="14">
        <v>12074553</v>
      </c>
      <c r="H10" s="14">
        <v>4596728</v>
      </c>
      <c r="I10" s="7">
        <f t="shared" si="1"/>
        <v>4.8697400367130023E-2</v>
      </c>
      <c r="J10" s="8">
        <f t="shared" si="2"/>
        <v>0.13234795571797428</v>
      </c>
      <c r="K10" s="8">
        <f t="shared" si="3"/>
        <v>0.20867184768393965</v>
      </c>
      <c r="L10" s="8">
        <f t="shared" si="4"/>
        <v>2.153638811009172E-3</v>
      </c>
      <c r="M10" s="8">
        <f t="shared" si="5"/>
        <v>0.36659103158599265</v>
      </c>
      <c r="N10" s="8">
        <f t="shared" si="6"/>
        <v>0.1749394603751655</v>
      </c>
      <c r="O10" s="8">
        <f t="shared" si="7"/>
        <v>6.6598665458788731E-2</v>
      </c>
      <c r="P10" s="12">
        <f t="shared" si="8"/>
        <v>1</v>
      </c>
      <c r="Q10" s="12">
        <f t="shared" si="9"/>
        <v>0.75020233964509775</v>
      </c>
      <c r="R10" s="5" t="s">
        <v>45</v>
      </c>
    </row>
    <row r="11" spans="1:20" x14ac:dyDescent="0.3">
      <c r="A11">
        <v>1999</v>
      </c>
      <c r="B11" s="14">
        <v>3284168</v>
      </c>
      <c r="C11" s="14">
        <v>9377329</v>
      </c>
      <c r="D11" s="14">
        <v>14943354</v>
      </c>
      <c r="E11" s="14">
        <v>227968</v>
      </c>
      <c r="F11" s="14">
        <v>25396510</v>
      </c>
      <c r="G11" s="14">
        <v>12421362</v>
      </c>
      <c r="H11" s="14">
        <v>4526546</v>
      </c>
      <c r="I11" s="7">
        <f t="shared" si="1"/>
        <v>4.6798194690965106E-2</v>
      </c>
      <c r="J11" s="8">
        <f t="shared" si="2"/>
        <v>0.13362351384680476</v>
      </c>
      <c r="K11" s="8">
        <f t="shared" si="3"/>
        <v>0.2129373375016175</v>
      </c>
      <c r="L11" s="8">
        <f t="shared" si="4"/>
        <v>3.2484607508842219E-3</v>
      </c>
      <c r="M11" s="8">
        <f t="shared" si="5"/>
        <v>0.36189099322904378</v>
      </c>
      <c r="N11" s="8">
        <f t="shared" si="6"/>
        <v>0.176999872480018</v>
      </c>
      <c r="O11" s="8">
        <f t="shared" si="7"/>
        <v>6.4501627500666639E-2</v>
      </c>
      <c r="P11" s="12">
        <f t="shared" si="8"/>
        <v>1</v>
      </c>
      <c r="Q11" s="12">
        <f t="shared" si="9"/>
        <v>0.75182820321067922</v>
      </c>
      <c r="R11" s="5" t="s">
        <v>45</v>
      </c>
      <c r="S11">
        <f>D35/D2-1</f>
        <v>0.6868728487478466</v>
      </c>
    </row>
    <row r="12" spans="1:20" x14ac:dyDescent="0.3">
      <c r="A12">
        <v>2000</v>
      </c>
      <c r="B12" s="14">
        <v>3216914</v>
      </c>
      <c r="C12" s="14">
        <v>9476912</v>
      </c>
      <c r="D12" s="14">
        <v>15490805</v>
      </c>
      <c r="E12" s="14">
        <v>235731</v>
      </c>
      <c r="F12" s="14">
        <v>24905642</v>
      </c>
      <c r="G12" s="14">
        <v>12778593</v>
      </c>
      <c r="H12" s="14">
        <v>4613766</v>
      </c>
      <c r="I12" s="7">
        <f t="shared" si="1"/>
        <v>4.5489090294694744E-2</v>
      </c>
      <c r="J12" s="8">
        <f t="shared" si="2"/>
        <v>0.13400921059216261</v>
      </c>
      <c r="K12" s="8">
        <f t="shared" si="3"/>
        <v>0.21904925881839205</v>
      </c>
      <c r="L12" s="8">
        <f t="shared" si="4"/>
        <v>3.3333774991369637E-3</v>
      </c>
      <c r="M12" s="8">
        <f t="shared" si="5"/>
        <v>0.35218069173914562</v>
      </c>
      <c r="N12" s="8">
        <f t="shared" si="6"/>
        <v>0.18069695702656466</v>
      </c>
      <c r="O12" s="8">
        <f t="shared" si="7"/>
        <v>6.5241414029903383E-2</v>
      </c>
      <c r="P12" s="12">
        <f t="shared" si="8"/>
        <v>1</v>
      </c>
      <c r="Q12" s="12">
        <f t="shared" si="9"/>
        <v>0.75192690758410241</v>
      </c>
      <c r="R12" s="5" t="s">
        <v>45</v>
      </c>
    </row>
    <row r="13" spans="1:20" x14ac:dyDescent="0.3">
      <c r="A13">
        <v>2001</v>
      </c>
      <c r="B13" s="14">
        <v>3193942</v>
      </c>
      <c r="C13" s="14">
        <v>9618468</v>
      </c>
      <c r="D13" s="14">
        <v>15576390</v>
      </c>
      <c r="E13" s="14">
        <v>246907</v>
      </c>
      <c r="F13" s="14">
        <v>24614580</v>
      </c>
      <c r="G13" s="14">
        <v>13096965</v>
      </c>
      <c r="H13" s="14">
        <v>4855836</v>
      </c>
      <c r="I13" s="7">
        <f t="shared" si="1"/>
        <v>4.4856790480772409E-2</v>
      </c>
      <c r="J13" s="8">
        <f t="shared" si="2"/>
        <v>0.13508498395462848</v>
      </c>
      <c r="K13" s="8">
        <f t="shared" si="3"/>
        <v>0.21876003467714772</v>
      </c>
      <c r="L13" s="8">
        <f t="shared" si="4"/>
        <v>3.4676445493487585E-3</v>
      </c>
      <c r="M13" s="8">
        <f t="shared" si="5"/>
        <v>0.34569540017702605</v>
      </c>
      <c r="N13" s="8">
        <f t="shared" si="6"/>
        <v>0.18393816009777553</v>
      </c>
      <c r="O13" s="8">
        <f t="shared" si="7"/>
        <v>6.8196986063301074E-2</v>
      </c>
      <c r="P13" s="12">
        <f t="shared" si="8"/>
        <v>1</v>
      </c>
      <c r="Q13" s="12">
        <f t="shared" si="9"/>
        <v>0.74839359495194935</v>
      </c>
      <c r="R13" s="5" t="s">
        <v>45</v>
      </c>
    </row>
    <row r="14" spans="1:20" x14ac:dyDescent="0.3">
      <c r="A14">
        <v>2002</v>
      </c>
      <c r="B14" s="14">
        <v>3084600</v>
      </c>
      <c r="C14" s="14">
        <v>9340461</v>
      </c>
      <c r="D14" s="14">
        <v>15916185</v>
      </c>
      <c r="E14" s="14">
        <v>261282</v>
      </c>
      <c r="F14" s="14">
        <v>24742312</v>
      </c>
      <c r="G14" s="14">
        <v>13554930</v>
      </c>
      <c r="H14" s="14">
        <v>4645153</v>
      </c>
      <c r="I14" s="7">
        <f t="shared" si="1"/>
        <v>4.3114170379357317E-2</v>
      </c>
      <c r="J14" s="8">
        <f t="shared" si="2"/>
        <v>0.13055379205593665</v>
      </c>
      <c r="K14" s="8">
        <f t="shared" si="3"/>
        <v>0.22246421314898893</v>
      </c>
      <c r="L14" s="8">
        <f t="shared" si="4"/>
        <v>3.6519991781946569E-3</v>
      </c>
      <c r="M14" s="8">
        <f t="shared" si="5"/>
        <v>0.34582903946936949</v>
      </c>
      <c r="N14" s="8">
        <f t="shared" si="6"/>
        <v>0.18946040378015364</v>
      </c>
      <c r="O14" s="8">
        <f t="shared" si="7"/>
        <v>6.492638198799934E-2</v>
      </c>
      <c r="P14" s="12">
        <f t="shared" si="8"/>
        <v>1</v>
      </c>
      <c r="Q14" s="12">
        <f t="shared" si="9"/>
        <v>0.757753656398512</v>
      </c>
      <c r="R14" s="5" t="s">
        <v>45</v>
      </c>
    </row>
    <row r="15" spans="1:20" x14ac:dyDescent="0.3">
      <c r="A15">
        <v>2003</v>
      </c>
      <c r="B15" s="14">
        <v>3120173</v>
      </c>
      <c r="C15" s="14">
        <v>9420960</v>
      </c>
      <c r="D15" s="14">
        <v>16667862</v>
      </c>
      <c r="E15" s="14">
        <v>282626</v>
      </c>
      <c r="F15" s="14">
        <v>24933340</v>
      </c>
      <c r="G15" s="14">
        <v>14013547</v>
      </c>
      <c r="H15" s="14">
        <v>4777409</v>
      </c>
      <c r="I15" s="7">
        <f t="shared" si="1"/>
        <v>4.2616047546054775E-2</v>
      </c>
      <c r="J15" s="8">
        <f t="shared" si="2"/>
        <v>0.12867365985459145</v>
      </c>
      <c r="K15" s="8">
        <f t="shared" si="3"/>
        <v>0.22765353058406684</v>
      </c>
      <c r="L15" s="8">
        <f t="shared" si="4"/>
        <v>3.8601715525873972E-3</v>
      </c>
      <c r="M15" s="8">
        <f t="shared" si="5"/>
        <v>0.34054534890275295</v>
      </c>
      <c r="N15" s="8">
        <f t="shared" si="6"/>
        <v>0.19140027980527785</v>
      </c>
      <c r="O15" s="8">
        <f t="shared" si="7"/>
        <v>6.5250961754668726E-2</v>
      </c>
      <c r="P15" s="12">
        <f t="shared" si="8"/>
        <v>1</v>
      </c>
      <c r="Q15" s="12">
        <f t="shared" si="9"/>
        <v>0.75959915929209765</v>
      </c>
      <c r="R15" s="5" t="s">
        <v>45</v>
      </c>
    </row>
    <row r="16" spans="1:20" x14ac:dyDescent="0.3">
      <c r="A16">
        <v>2004</v>
      </c>
      <c r="B16" s="14">
        <v>3307028</v>
      </c>
      <c r="C16" s="14">
        <v>9562322</v>
      </c>
      <c r="D16" s="14">
        <v>16627290</v>
      </c>
      <c r="E16" s="14">
        <v>300896</v>
      </c>
      <c r="F16" s="14">
        <v>24797074</v>
      </c>
      <c r="G16" s="14">
        <v>14448290</v>
      </c>
      <c r="H16" s="14">
        <v>4796202</v>
      </c>
      <c r="I16" s="7">
        <f t="shared" si="1"/>
        <v>4.4786947706920918E-2</v>
      </c>
      <c r="J16" s="8">
        <f t="shared" si="2"/>
        <v>0.12950214372867103</v>
      </c>
      <c r="K16" s="8">
        <f t="shared" si="3"/>
        <v>0.22518272229258693</v>
      </c>
      <c r="L16" s="8">
        <f t="shared" si="4"/>
        <v>4.0750224725105673E-3</v>
      </c>
      <c r="M16" s="8">
        <f t="shared" si="5"/>
        <v>0.33582577967971494</v>
      </c>
      <c r="N16" s="8">
        <f t="shared" si="6"/>
        <v>0.19567261259488231</v>
      </c>
      <c r="O16" s="8">
        <f t="shared" si="7"/>
        <v>6.4954771524713281E-2</v>
      </c>
      <c r="P16" s="12">
        <f t="shared" si="8"/>
        <v>1</v>
      </c>
      <c r="Q16" s="12">
        <f t="shared" si="9"/>
        <v>0.75668111456718423</v>
      </c>
      <c r="R16" s="5" t="s">
        <v>45</v>
      </c>
    </row>
    <row r="17" spans="1:18" x14ac:dyDescent="0.3">
      <c r="A17">
        <v>2005</v>
      </c>
      <c r="B17" s="14">
        <v>3264351</v>
      </c>
      <c r="C17" s="14">
        <v>9612593</v>
      </c>
      <c r="D17" s="14">
        <v>16643566</v>
      </c>
      <c r="E17" s="14">
        <v>331410</v>
      </c>
      <c r="F17" s="14">
        <v>24943688</v>
      </c>
      <c r="G17" s="14">
        <v>15095861</v>
      </c>
      <c r="H17" s="14">
        <v>4239968</v>
      </c>
      <c r="I17" s="7">
        <f t="shared" si="1"/>
        <v>4.4034638098274015E-2</v>
      </c>
      <c r="J17" s="8">
        <f t="shared" si="2"/>
        <v>0.12966958943477649</v>
      </c>
      <c r="K17" s="8">
        <f t="shared" si="3"/>
        <v>0.22451427725595013</v>
      </c>
      <c r="L17" s="8">
        <f t="shared" si="4"/>
        <v>4.4705729905114341E-3</v>
      </c>
      <c r="M17" s="8">
        <f t="shared" si="5"/>
        <v>0.33647921866130831</v>
      </c>
      <c r="N17" s="8">
        <f t="shared" si="6"/>
        <v>0.2036364275523217</v>
      </c>
      <c r="O17" s="8">
        <f t="shared" si="7"/>
        <v>5.7195276006857927E-2</v>
      </c>
      <c r="P17" s="12">
        <f t="shared" si="8"/>
        <v>1</v>
      </c>
      <c r="Q17" s="12">
        <f t="shared" si="9"/>
        <v>0.76462992346958014</v>
      </c>
      <c r="R17" s="5" t="s">
        <v>45</v>
      </c>
    </row>
    <row r="18" spans="1:18" x14ac:dyDescent="0.3">
      <c r="A18">
        <v>2006</v>
      </c>
      <c r="B18" s="14">
        <v>3369492</v>
      </c>
      <c r="C18" s="14">
        <v>9314764</v>
      </c>
      <c r="D18" s="14">
        <v>16495992</v>
      </c>
      <c r="E18" s="14">
        <v>367664</v>
      </c>
      <c r="F18" s="14">
        <v>24969705</v>
      </c>
      <c r="G18" s="14">
        <v>15507203</v>
      </c>
      <c r="H18" s="14">
        <v>4306435</v>
      </c>
      <c r="I18" s="7">
        <f t="shared" si="1"/>
        <v>4.5330756220919449E-2</v>
      </c>
      <c r="J18" s="8">
        <f t="shared" si="2"/>
        <v>0.12531423019831966</v>
      </c>
      <c r="K18" s="8">
        <f t="shared" si="3"/>
        <v>0.22192537984189828</v>
      </c>
      <c r="L18" s="8">
        <f t="shared" si="4"/>
        <v>4.9462907628829893E-3</v>
      </c>
      <c r="M18" s="8">
        <f t="shared" si="5"/>
        <v>0.33592470623562054</v>
      </c>
      <c r="N18" s="8">
        <f t="shared" si="6"/>
        <v>0.20862291373931463</v>
      </c>
      <c r="O18" s="8">
        <f t="shared" si="7"/>
        <v>5.7935723001044444E-2</v>
      </c>
      <c r="P18" s="12">
        <f t="shared" si="8"/>
        <v>1</v>
      </c>
      <c r="Q18" s="12">
        <f t="shared" si="9"/>
        <v>0.76647299981683348</v>
      </c>
      <c r="R18" s="5" t="s">
        <v>45</v>
      </c>
    </row>
    <row r="19" spans="1:18" x14ac:dyDescent="0.3">
      <c r="A19">
        <v>2007</v>
      </c>
      <c r="B19" s="14">
        <v>3251336</v>
      </c>
      <c r="C19" s="14">
        <v>8927255</v>
      </c>
      <c r="D19" s="14">
        <v>16882184</v>
      </c>
      <c r="E19" s="14">
        <v>411852</v>
      </c>
      <c r="F19" s="14">
        <v>24663896</v>
      </c>
      <c r="G19" s="14">
        <v>16160687</v>
      </c>
      <c r="H19" s="14">
        <v>4224858</v>
      </c>
      <c r="I19" s="7">
        <f t="shared" si="1"/>
        <v>4.3629170355283214E-2</v>
      </c>
      <c r="J19" s="8">
        <f t="shared" si="2"/>
        <v>0.11979344158833595</v>
      </c>
      <c r="K19" s="8">
        <f t="shared" si="3"/>
        <v>0.22653939233140979</v>
      </c>
      <c r="L19" s="8">
        <f t="shared" si="4"/>
        <v>5.5265777111821431E-3</v>
      </c>
      <c r="M19" s="8">
        <f t="shared" si="5"/>
        <v>0.33096097118507234</v>
      </c>
      <c r="N19" s="8">
        <f t="shared" si="6"/>
        <v>0.21685773669082828</v>
      </c>
      <c r="O19" s="8">
        <f t="shared" si="7"/>
        <v>5.6692710137888284E-2</v>
      </c>
      <c r="P19" s="12">
        <f t="shared" si="8"/>
        <v>1</v>
      </c>
      <c r="Q19" s="12">
        <f t="shared" si="9"/>
        <v>0.77435810020731033</v>
      </c>
      <c r="R19" s="5" t="s">
        <v>45</v>
      </c>
    </row>
    <row r="20" spans="1:18" x14ac:dyDescent="0.3">
      <c r="A20">
        <v>2008</v>
      </c>
      <c r="B20" s="14">
        <v>3231594</v>
      </c>
      <c r="C20" s="14">
        <v>8976854</v>
      </c>
      <c r="D20" s="14">
        <v>17381981</v>
      </c>
      <c r="E20" s="14">
        <v>461079</v>
      </c>
      <c r="F20" s="14">
        <v>24509350</v>
      </c>
      <c r="G20" s="14">
        <v>16482804</v>
      </c>
      <c r="H20" s="14">
        <v>4241685</v>
      </c>
      <c r="I20" s="7">
        <f t="shared" si="1"/>
        <v>4.2924607892157289E-2</v>
      </c>
      <c r="J20" s="8">
        <f t="shared" si="2"/>
        <v>0.11923773161329787</v>
      </c>
      <c r="K20" s="8">
        <f t="shared" si="3"/>
        <v>0.23088132940398082</v>
      </c>
      <c r="L20" s="8">
        <f t="shared" si="4"/>
        <v>6.1244188726393197E-3</v>
      </c>
      <c r="M20" s="8">
        <f t="shared" si="5"/>
        <v>0.32555272674774283</v>
      </c>
      <c r="N20" s="8">
        <f t="shared" si="6"/>
        <v>0.21893774362227486</v>
      </c>
      <c r="O20" s="8">
        <f t="shared" si="7"/>
        <v>5.6341441847907001E-2</v>
      </c>
      <c r="P20" s="12">
        <f t="shared" si="8"/>
        <v>0.99999999999999989</v>
      </c>
      <c r="Q20" s="12">
        <f t="shared" si="9"/>
        <v>0.77537179977399862</v>
      </c>
      <c r="R20" s="5" t="s">
        <v>45</v>
      </c>
    </row>
    <row r="21" spans="1:18" x14ac:dyDescent="0.3">
      <c r="A21">
        <v>2009</v>
      </c>
      <c r="B21" s="14">
        <v>3192783</v>
      </c>
      <c r="C21" s="14">
        <v>8667005</v>
      </c>
      <c r="D21" s="14">
        <v>17233421</v>
      </c>
      <c r="E21" s="14">
        <v>550529</v>
      </c>
      <c r="F21" s="14">
        <v>24371711</v>
      </c>
      <c r="G21" s="14">
        <v>16890265</v>
      </c>
      <c r="H21" s="14">
        <v>4201503</v>
      </c>
      <c r="I21" s="7">
        <f t="shared" si="1"/>
        <v>4.2509669876331591E-2</v>
      </c>
      <c r="J21" s="8">
        <f t="shared" si="2"/>
        <v>0.11539510244401679</v>
      </c>
      <c r="K21" s="8">
        <f t="shared" si="3"/>
        <v>0.2294509327911857</v>
      </c>
      <c r="L21" s="8">
        <f t="shared" si="4"/>
        <v>7.3299081232100502E-3</v>
      </c>
      <c r="M21" s="8">
        <f t="shared" si="5"/>
        <v>0.32449226550359334</v>
      </c>
      <c r="N21" s="8">
        <f t="shared" si="6"/>
        <v>0.22488205094857927</v>
      </c>
      <c r="O21" s="8">
        <f t="shared" si="7"/>
        <v>5.5940070313083227E-2</v>
      </c>
      <c r="P21" s="12">
        <f t="shared" si="8"/>
        <v>0.99999999999999989</v>
      </c>
      <c r="Q21" s="12">
        <f t="shared" si="9"/>
        <v>0.77882524924335828</v>
      </c>
      <c r="R21" s="5" t="s">
        <v>45</v>
      </c>
    </row>
    <row r="22" spans="1:18" x14ac:dyDescent="0.3">
      <c r="A22">
        <v>2010</v>
      </c>
      <c r="B22" s="14">
        <v>3205440</v>
      </c>
      <c r="C22" s="14">
        <v>8675077</v>
      </c>
      <c r="D22" s="14">
        <v>17997983</v>
      </c>
      <c r="E22" s="14">
        <v>574078</v>
      </c>
      <c r="F22" s="14">
        <v>24375799</v>
      </c>
      <c r="G22" s="14">
        <v>17866752</v>
      </c>
      <c r="H22" s="14">
        <v>4469756</v>
      </c>
      <c r="I22" s="7">
        <f t="shared" si="1"/>
        <v>4.1540138367341571E-2</v>
      </c>
      <c r="J22" s="8">
        <f t="shared" si="2"/>
        <v>0.11242259999480333</v>
      </c>
      <c r="K22" s="8">
        <f t="shared" si="3"/>
        <v>0.23324058605154405</v>
      </c>
      <c r="L22" s="8">
        <f t="shared" si="4"/>
        <v>7.4396274937751803E-3</v>
      </c>
      <c r="M22" s="8">
        <f t="shared" si="5"/>
        <v>0.31589237773114026</v>
      </c>
      <c r="N22" s="8">
        <f t="shared" si="6"/>
        <v>0.23153992907525231</v>
      </c>
      <c r="O22" s="8">
        <f t="shared" si="7"/>
        <v>5.7924741286143305E-2</v>
      </c>
      <c r="P22" s="12">
        <f t="shared" si="8"/>
        <v>1</v>
      </c>
      <c r="Q22" s="12">
        <f t="shared" si="9"/>
        <v>0.78067289285793662</v>
      </c>
      <c r="R22" s="5" t="s">
        <v>45</v>
      </c>
    </row>
    <row r="23" spans="1:18" x14ac:dyDescent="0.3">
      <c r="A23">
        <v>2011</v>
      </c>
      <c r="B23" s="14">
        <v>3191835</v>
      </c>
      <c r="C23" s="14">
        <v>8372347</v>
      </c>
      <c r="D23" s="14">
        <v>17642255</v>
      </c>
      <c r="E23" s="14">
        <v>685016</v>
      </c>
      <c r="F23" s="14">
        <v>23963544</v>
      </c>
      <c r="G23" s="14">
        <v>17971211</v>
      </c>
      <c r="H23" s="14">
        <v>4606062</v>
      </c>
      <c r="I23" s="7">
        <f t="shared" si="1"/>
        <v>4.1760306216209464E-2</v>
      </c>
      <c r="J23" s="8">
        <f t="shared" si="2"/>
        <v>0.10953942621356137</v>
      </c>
      <c r="K23" s="8">
        <f t="shared" si="3"/>
        <v>0.23082207292809701</v>
      </c>
      <c r="L23" s="8">
        <f t="shared" si="4"/>
        <v>8.9623924554379977E-3</v>
      </c>
      <c r="M23" s="8">
        <f t="shared" si="5"/>
        <v>0.31352652485658217</v>
      </c>
      <c r="N23" s="8">
        <f t="shared" si="6"/>
        <v>0.23512596184831355</v>
      </c>
      <c r="O23" s="8">
        <f t="shared" si="7"/>
        <v>6.026331548179846E-2</v>
      </c>
      <c r="P23" s="12">
        <f t="shared" si="8"/>
        <v>1.0000000000000002</v>
      </c>
      <c r="Q23" s="12">
        <f t="shared" si="9"/>
        <v>0.77947455963299273</v>
      </c>
      <c r="R23" s="5" t="s">
        <v>45</v>
      </c>
    </row>
    <row r="24" spans="1:18" x14ac:dyDescent="0.3">
      <c r="A24">
        <v>2012</v>
      </c>
      <c r="B24" s="14">
        <v>3231299</v>
      </c>
      <c r="C24" s="14">
        <v>8284949</v>
      </c>
      <c r="D24" s="14">
        <v>16920740</v>
      </c>
      <c r="E24" s="14">
        <v>724176</v>
      </c>
      <c r="F24" s="14">
        <v>23728049</v>
      </c>
      <c r="G24" s="14">
        <v>18411098</v>
      </c>
      <c r="H24" s="14">
        <v>4690541</v>
      </c>
      <c r="I24" s="7">
        <f t="shared" si="1"/>
        <v>4.2522210436593079E-2</v>
      </c>
      <c r="J24" s="8">
        <f t="shared" si="2"/>
        <v>0.10902561008264521</v>
      </c>
      <c r="K24" s="8">
        <f t="shared" si="3"/>
        <v>0.22266811799925601</v>
      </c>
      <c r="L24" s="8">
        <f t="shared" si="4"/>
        <v>9.5297786633580586E-3</v>
      </c>
      <c r="M24" s="8">
        <f t="shared" si="5"/>
        <v>0.31224875594236001</v>
      </c>
      <c r="N24" s="8">
        <f t="shared" si="6"/>
        <v>0.24228045238919022</v>
      </c>
      <c r="O24" s="8">
        <f t="shared" si="7"/>
        <v>6.1725074486597413E-2</v>
      </c>
      <c r="P24" s="12">
        <f t="shared" si="8"/>
        <v>1</v>
      </c>
      <c r="Q24" s="12">
        <f t="shared" si="9"/>
        <v>0.77719732633080629</v>
      </c>
      <c r="R24" s="5" t="s">
        <v>45</v>
      </c>
    </row>
    <row r="25" spans="1:18" x14ac:dyDescent="0.3">
      <c r="A25">
        <v>2013</v>
      </c>
      <c r="B25" s="14">
        <v>3150317</v>
      </c>
      <c r="C25" s="14">
        <v>8478293</v>
      </c>
      <c r="D25" s="14">
        <v>18072916</v>
      </c>
      <c r="E25" s="14">
        <v>953660</v>
      </c>
      <c r="F25" s="14">
        <v>23942064</v>
      </c>
      <c r="G25" s="14">
        <v>19093680</v>
      </c>
      <c r="H25" s="14">
        <v>4577287</v>
      </c>
      <c r="I25" s="7">
        <f t="shared" si="1"/>
        <v>4.0250271703519191E-2</v>
      </c>
      <c r="J25" s="8">
        <f t="shared" si="2"/>
        <v>0.10832357405049868</v>
      </c>
      <c r="K25" s="8">
        <f t="shared" si="3"/>
        <v>0.23091002571324706</v>
      </c>
      <c r="L25" s="8">
        <f t="shared" si="4"/>
        <v>1.2184511626219875E-2</v>
      </c>
      <c r="M25" s="8">
        <f t="shared" si="5"/>
        <v>0.30589765447192951</v>
      </c>
      <c r="N25" s="8">
        <f t="shared" si="6"/>
        <v>0.24395189684722215</v>
      </c>
      <c r="O25" s="8">
        <f t="shared" si="7"/>
        <v>5.8482065587363512E-2</v>
      </c>
      <c r="P25" s="12">
        <f t="shared" si="8"/>
        <v>0.99999999999999989</v>
      </c>
      <c r="Q25" s="12">
        <f t="shared" si="9"/>
        <v>0.78075957703239873</v>
      </c>
      <c r="R25" s="5" t="s">
        <v>45</v>
      </c>
    </row>
    <row r="26" spans="1:18" x14ac:dyDescent="0.3">
      <c r="A26">
        <v>2014</v>
      </c>
      <c r="B26" s="14">
        <v>3146503</v>
      </c>
      <c r="C26" s="14">
        <v>8349745</v>
      </c>
      <c r="D26" s="14">
        <v>17745180</v>
      </c>
      <c r="E26" s="14">
        <v>1013702</v>
      </c>
      <c r="F26" s="14">
        <v>23743225</v>
      </c>
      <c r="G26" s="14">
        <v>19413320</v>
      </c>
      <c r="H26" s="14">
        <v>4483230</v>
      </c>
      <c r="I26" s="7">
        <f t="shared" si="1"/>
        <v>4.0394208067908936E-2</v>
      </c>
      <c r="J26" s="8">
        <f t="shared" si="2"/>
        <v>0.10719244089199416</v>
      </c>
      <c r="K26" s="8">
        <f t="shared" si="3"/>
        <v>0.22780925145232542</v>
      </c>
      <c r="L26" s="8">
        <f t="shared" si="4"/>
        <v>1.3013713798097577E-2</v>
      </c>
      <c r="M26" s="8">
        <f t="shared" si="5"/>
        <v>0.30481101427622254</v>
      </c>
      <c r="N26" s="8">
        <f t="shared" si="6"/>
        <v>0.24922451603221032</v>
      </c>
      <c r="O26" s="8">
        <f t="shared" si="7"/>
        <v>5.7554855481241042E-2</v>
      </c>
      <c r="P26" s="12">
        <f t="shared" si="8"/>
        <v>0.99999999999999989</v>
      </c>
      <c r="Q26" s="12">
        <f t="shared" si="9"/>
        <v>0.78184478176075833</v>
      </c>
      <c r="R26" s="5" t="s">
        <v>45</v>
      </c>
    </row>
    <row r="27" spans="1:18" x14ac:dyDescent="0.3">
      <c r="A27">
        <v>2015</v>
      </c>
      <c r="B27" s="14">
        <v>3169653</v>
      </c>
      <c r="C27" s="14">
        <v>8651074</v>
      </c>
      <c r="D27" s="14">
        <v>17728848</v>
      </c>
      <c r="E27" s="14">
        <v>1090944</v>
      </c>
      <c r="F27" s="14">
        <v>23272563</v>
      </c>
      <c r="G27" s="14">
        <v>19772557</v>
      </c>
      <c r="H27" s="14">
        <v>4401317</v>
      </c>
      <c r="I27" s="7">
        <f t="shared" si="1"/>
        <v>4.0591324881456517E-2</v>
      </c>
      <c r="J27" s="8">
        <f t="shared" si="2"/>
        <v>0.11078769673132091</v>
      </c>
      <c r="K27" s="8">
        <f t="shared" si="3"/>
        <v>0.22703981443456447</v>
      </c>
      <c r="L27" s="8">
        <f t="shared" si="4"/>
        <v>1.3970886507600578E-2</v>
      </c>
      <c r="M27" s="8">
        <f t="shared" si="5"/>
        <v>0.29803393796013766</v>
      </c>
      <c r="N27" s="8">
        <f t="shared" si="6"/>
        <v>0.25321203454261937</v>
      </c>
      <c r="O27" s="8">
        <f t="shared" si="7"/>
        <v>5.6364304942300478E-2</v>
      </c>
      <c r="P27" s="12">
        <f t="shared" si="8"/>
        <v>1</v>
      </c>
      <c r="Q27" s="12">
        <f t="shared" si="9"/>
        <v>0.77828578693732142</v>
      </c>
      <c r="R27" s="5" t="s">
        <v>45</v>
      </c>
    </row>
    <row r="28" spans="1:18" x14ac:dyDescent="0.3">
      <c r="A28">
        <v>2016</v>
      </c>
      <c r="B28" s="14">
        <v>3138841</v>
      </c>
      <c r="C28" s="14">
        <v>8782649</v>
      </c>
      <c r="D28" s="14">
        <v>18248134</v>
      </c>
      <c r="E28" s="14">
        <v>1137504</v>
      </c>
      <c r="F28" s="14">
        <v>22930868</v>
      </c>
      <c r="G28" s="14">
        <v>20446866</v>
      </c>
      <c r="H28" s="14">
        <v>4280928</v>
      </c>
      <c r="I28" s="7">
        <f t="shared" si="1"/>
        <v>3.9749377546909874E-2</v>
      </c>
      <c r="J28" s="8">
        <f t="shared" si="2"/>
        <v>0.11122093504035102</v>
      </c>
      <c r="K28" s="8">
        <f t="shared" si="3"/>
        <v>0.23108910833412799</v>
      </c>
      <c r="L28" s="8">
        <f t="shared" si="4"/>
        <v>1.4405022731995716E-2</v>
      </c>
      <c r="M28" s="8">
        <f t="shared" si="5"/>
        <v>0.29038990175365814</v>
      </c>
      <c r="N28" s="8">
        <f t="shared" si="6"/>
        <v>0.25893321652325646</v>
      </c>
      <c r="O28" s="8">
        <f t="shared" si="7"/>
        <v>5.4212438069700816E-2</v>
      </c>
      <c r="P28" s="12">
        <f t="shared" si="8"/>
        <v>1.0000000000000002</v>
      </c>
      <c r="Q28" s="12">
        <f t="shared" si="9"/>
        <v>0.78041222661104259</v>
      </c>
      <c r="R28" s="5" t="s">
        <v>45</v>
      </c>
    </row>
    <row r="29" spans="1:18" x14ac:dyDescent="0.3">
      <c r="A29">
        <v>2017</v>
      </c>
      <c r="B29" s="14">
        <v>3253641</v>
      </c>
      <c r="C29" s="14">
        <v>9112944</v>
      </c>
      <c r="D29" s="14">
        <v>18739718</v>
      </c>
      <c r="E29" s="14">
        <v>1147443</v>
      </c>
      <c r="F29" s="14">
        <v>22987746</v>
      </c>
      <c r="G29" s="14">
        <v>20869256</v>
      </c>
      <c r="H29" s="14">
        <v>4410606</v>
      </c>
      <c r="I29" s="7">
        <f t="shared" si="1"/>
        <v>4.0407181925927377E-2</v>
      </c>
      <c r="J29" s="8">
        <f t="shared" si="2"/>
        <v>0.11317425188851146</v>
      </c>
      <c r="K29" s="8">
        <f t="shared" si="3"/>
        <v>0.23272979239767877</v>
      </c>
      <c r="L29" s="8">
        <f t="shared" si="4"/>
        <v>1.4250170209507406E-2</v>
      </c>
      <c r="M29" s="8">
        <f t="shared" si="5"/>
        <v>0.28548633198592266</v>
      </c>
      <c r="N29" s="8">
        <f t="shared" si="6"/>
        <v>0.25917666511171683</v>
      </c>
      <c r="O29" s="8">
        <f t="shared" si="7"/>
        <v>5.4775606480735532E-2</v>
      </c>
      <c r="P29" s="12">
        <f t="shared" si="8"/>
        <v>1</v>
      </c>
      <c r="Q29" s="12">
        <f t="shared" si="9"/>
        <v>0.77739278949531831</v>
      </c>
      <c r="R29" s="5" t="s">
        <v>45</v>
      </c>
    </row>
    <row r="30" spans="1:18" x14ac:dyDescent="0.3">
      <c r="A30">
        <v>2018</v>
      </c>
      <c r="B30" s="14">
        <v>2819756</v>
      </c>
      <c r="C30" s="14">
        <v>9176457</v>
      </c>
      <c r="D30" s="14">
        <v>19994952</v>
      </c>
      <c r="E30" s="14">
        <v>1210054</v>
      </c>
      <c r="F30" s="14">
        <v>23180989</v>
      </c>
      <c r="G30" s="14">
        <v>21641748</v>
      </c>
      <c r="H30" s="14">
        <v>4838980</v>
      </c>
      <c r="I30" s="7">
        <f t="shared" si="1"/>
        <v>3.4029158706131289E-2</v>
      </c>
      <c r="J30" s="8">
        <f t="shared" si="2"/>
        <v>0.11074260028633308</v>
      </c>
      <c r="K30" s="8">
        <f t="shared" si="3"/>
        <v>0.24130151507062217</v>
      </c>
      <c r="L30" s="8">
        <f t="shared" si="4"/>
        <v>1.4603078993001166E-2</v>
      </c>
      <c r="M30" s="8">
        <f t="shared" si="5"/>
        <v>0.27975099747853494</v>
      </c>
      <c r="N30" s="8">
        <f t="shared" si="6"/>
        <v>0.26117524969185257</v>
      </c>
      <c r="O30" s="8">
        <f t="shared" si="7"/>
        <v>5.8397399773524802E-2</v>
      </c>
      <c r="P30" s="12">
        <f t="shared" si="8"/>
        <v>1</v>
      </c>
      <c r="Q30" s="12">
        <f t="shared" si="9"/>
        <v>0.78222776224100965</v>
      </c>
      <c r="R30" s="5" t="s">
        <v>45</v>
      </c>
    </row>
    <row r="31" spans="1:18" x14ac:dyDescent="0.3">
      <c r="A31">
        <v>2019</v>
      </c>
      <c r="B31" s="14">
        <v>2427633</v>
      </c>
      <c r="C31" s="14">
        <v>9119948</v>
      </c>
      <c r="D31" s="14">
        <v>20176537</v>
      </c>
      <c r="E31" s="14">
        <v>1214517</v>
      </c>
      <c r="F31" s="14">
        <v>22865491</v>
      </c>
      <c r="G31" s="14">
        <v>21977054</v>
      </c>
      <c r="H31" s="14">
        <v>4830012</v>
      </c>
      <c r="I31" s="7">
        <f t="shared" si="1"/>
        <v>2.9386248294298912E-2</v>
      </c>
      <c r="J31" s="8">
        <f t="shared" si="2"/>
        <v>0.11039603447436033</v>
      </c>
      <c r="K31" s="8">
        <f t="shared" si="3"/>
        <v>0.24423490947812496</v>
      </c>
      <c r="L31" s="8">
        <f t="shared" si="4"/>
        <v>1.4701603627750583E-2</v>
      </c>
      <c r="M31" s="8">
        <f t="shared" si="5"/>
        <v>0.2767844216556033</v>
      </c>
      <c r="N31" s="8">
        <f t="shared" si="6"/>
        <v>0.26602998295920971</v>
      </c>
      <c r="O31" s="8">
        <f t="shared" si="7"/>
        <v>5.8466799510652263E-2</v>
      </c>
      <c r="P31" s="12">
        <f t="shared" si="8"/>
        <v>1</v>
      </c>
      <c r="Q31" s="12">
        <f t="shared" si="9"/>
        <v>0.78704931409293799</v>
      </c>
      <c r="R31" s="5" t="s">
        <v>45</v>
      </c>
    </row>
    <row r="32" spans="1:18" x14ac:dyDescent="0.3">
      <c r="A32">
        <v>2020</v>
      </c>
      <c r="B32" s="14">
        <v>2333419</v>
      </c>
      <c r="C32" s="14">
        <v>9198318</v>
      </c>
      <c r="D32" s="14">
        <v>20221958</v>
      </c>
      <c r="E32" s="14">
        <v>1276440</v>
      </c>
      <c r="F32" s="14">
        <v>22591235</v>
      </c>
      <c r="G32" s="14">
        <v>22852304</v>
      </c>
      <c r="H32" s="14">
        <v>4913608</v>
      </c>
      <c r="I32" s="7">
        <f t="shared" si="1"/>
        <v>2.7982912310296912E-2</v>
      </c>
      <c r="J32" s="8">
        <f t="shared" si="2"/>
        <v>0.11030840410411746</v>
      </c>
      <c r="K32" s="8">
        <f t="shared" si="3"/>
        <v>0.24250650117124575</v>
      </c>
      <c r="L32" s="8">
        <f t="shared" si="4"/>
        <v>1.5307370253415862E-2</v>
      </c>
      <c r="M32" s="8">
        <f t="shared" si="5"/>
        <v>0.27091943109501998</v>
      </c>
      <c r="N32" s="8">
        <f t="shared" si="6"/>
        <v>0.2740502322644357</v>
      </c>
      <c r="O32" s="8">
        <f t="shared" si="7"/>
        <v>5.8925148801468312E-2</v>
      </c>
      <c r="P32" s="12">
        <f t="shared" si="8"/>
        <v>1</v>
      </c>
      <c r="Q32" s="12">
        <f t="shared" si="9"/>
        <v>0.78747616453070135</v>
      </c>
      <c r="R32" s="5" t="s">
        <v>45</v>
      </c>
    </row>
    <row r="33" spans="1:18" x14ac:dyDescent="0.3">
      <c r="A33">
        <v>2021</v>
      </c>
      <c r="B33" s="14">
        <v>2212935</v>
      </c>
      <c r="C33" s="14">
        <v>9036670</v>
      </c>
      <c r="D33" s="14">
        <v>21044215</v>
      </c>
      <c r="E33" s="14">
        <v>1339579</v>
      </c>
      <c r="F33" s="14">
        <v>22612081</v>
      </c>
      <c r="G33" s="14">
        <v>23592122</v>
      </c>
      <c r="H33" s="14">
        <v>5334203</v>
      </c>
      <c r="I33" s="7">
        <f t="shared" si="1"/>
        <v>2.5982013648765574E-2</v>
      </c>
      <c r="J33" s="8">
        <f t="shared" si="2"/>
        <v>0.10609931302970507</v>
      </c>
      <c r="K33" s="8">
        <f t="shared" si="3"/>
        <v>0.24707959400414256</v>
      </c>
      <c r="L33" s="8">
        <f t="shared" si="4"/>
        <v>1.5727963027201315E-2</v>
      </c>
      <c r="M33" s="8">
        <f t="shared" si="5"/>
        <v>0.26548786890215603</v>
      </c>
      <c r="N33" s="8">
        <f t="shared" si="6"/>
        <v>0.27699450539999709</v>
      </c>
      <c r="O33" s="8">
        <f t="shared" si="7"/>
        <v>6.262874198803231E-2</v>
      </c>
      <c r="P33" s="12">
        <f t="shared" si="8"/>
        <v>1</v>
      </c>
      <c r="Q33" s="12">
        <f t="shared" si="9"/>
        <v>0.78956196830629577</v>
      </c>
      <c r="R33" s="5" t="s">
        <v>45</v>
      </c>
    </row>
    <row r="34" spans="1:18" x14ac:dyDescent="0.3">
      <c r="A34">
        <v>2022</v>
      </c>
      <c r="B34" s="14">
        <v>2060382</v>
      </c>
      <c r="C34" s="14">
        <v>8956775</v>
      </c>
      <c r="D34" s="14">
        <v>20495792</v>
      </c>
      <c r="E34" s="14">
        <v>1410543</v>
      </c>
      <c r="F34" s="14">
        <v>22469321</v>
      </c>
      <c r="G34" s="14">
        <v>24320272</v>
      </c>
      <c r="H34" s="14">
        <v>5271958</v>
      </c>
      <c r="I34" s="7">
        <f t="shared" si="1"/>
        <v>2.4244054333184252E-2</v>
      </c>
      <c r="J34" s="8">
        <f t="shared" si="2"/>
        <v>0.10539236886660162</v>
      </c>
      <c r="K34" s="8">
        <f t="shared" si="3"/>
        <v>0.24116940200877465</v>
      </c>
      <c r="L34" s="8">
        <f t="shared" si="4"/>
        <v>1.6597544111379692E-2</v>
      </c>
      <c r="M34" s="8">
        <f t="shared" si="5"/>
        <v>0.26439147650957828</v>
      </c>
      <c r="N34" s="8">
        <f t="shared" si="6"/>
        <v>0.28617120309040733</v>
      </c>
      <c r="O34" s="8">
        <f t="shared" si="7"/>
        <v>6.2033951080074173E-2</v>
      </c>
      <c r="P34" s="12">
        <f t="shared" si="8"/>
        <v>1</v>
      </c>
      <c r="Q34" s="12">
        <f t="shared" si="9"/>
        <v>0.7917320816087603</v>
      </c>
      <c r="R34" s="5" t="s">
        <v>45</v>
      </c>
    </row>
    <row r="35" spans="1:18" x14ac:dyDescent="0.3">
      <c r="A35">
        <v>2023</v>
      </c>
      <c r="B35" s="14">
        <v>2006575</v>
      </c>
      <c r="C35" s="14">
        <v>8834399</v>
      </c>
      <c r="D35" s="14">
        <v>19622987</v>
      </c>
      <c r="E35" s="14">
        <v>1486202</v>
      </c>
      <c r="F35" s="14">
        <v>22228391</v>
      </c>
      <c r="G35" s="14">
        <v>24565124</v>
      </c>
      <c r="H35" s="14">
        <v>5427468</v>
      </c>
      <c r="I35" s="7">
        <f t="shared" si="1"/>
        <v>2.3839226330600274E-2</v>
      </c>
      <c r="J35" s="8">
        <f t="shared" si="2"/>
        <v>0.10495757061451913</v>
      </c>
      <c r="K35" s="8">
        <f t="shared" si="3"/>
        <v>0.23313199276150998</v>
      </c>
      <c r="L35" s="8">
        <f t="shared" si="4"/>
        <v>1.7656905847521668E-2</v>
      </c>
      <c r="M35" s="8">
        <f t="shared" si="5"/>
        <v>0.26408564046401362</v>
      </c>
      <c r="N35" s="8">
        <f t="shared" si="6"/>
        <v>0.29184732734897062</v>
      </c>
      <c r="O35" s="8">
        <f t="shared" si="7"/>
        <v>6.4481336632864664E-2</v>
      </c>
      <c r="P35" s="12">
        <f t="shared" si="8"/>
        <v>1</v>
      </c>
      <c r="Q35" s="12">
        <f t="shared" si="9"/>
        <v>0.78906496057449427</v>
      </c>
      <c r="R35" s="5" t="s">
        <v>45</v>
      </c>
    </row>
  </sheetData>
  <conditionalFormatting sqref="I2:O3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Residential total final consump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Funari</dc:creator>
  <cp:lastModifiedBy>Nicholas Funari</cp:lastModifiedBy>
  <dcterms:created xsi:type="dcterms:W3CDTF">2026-09-02T23:44:35Z</dcterms:created>
  <dcterms:modified xsi:type="dcterms:W3CDTF">2026-09-02T23:44:35Z</dcterms:modified>
</cp:coreProperties>
</file>